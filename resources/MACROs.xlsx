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mtante\Downloads\Pure Process\BPM\Training\Cartographie LLD Macro-processus N&amp;IS 24122025\"/>
    </mc:Choice>
  </mc:AlternateContent>
  <xr:revisionPtr revIDLastSave="0" documentId="13_ncr:1_{F3F25F98-FAA2-421D-AE7D-8A8EF2F0E080}" xr6:coauthVersionLast="47" xr6:coauthVersionMax="47" xr10:uidLastSave="{00000000-0000-0000-0000-000000000000}"/>
  <bookViews>
    <workbookView xWindow="-108" yWindow="-108" windowWidth="23256" windowHeight="12456" xr2:uid="{279636A2-F366-4719-A5D8-ED00DC8E558C}"/>
  </bookViews>
  <sheets>
    <sheet name="Synthèse" sheetId="14" r:id="rId1"/>
    <sheet name="Big Data &amp; Gouvernance" sheetId="1" r:id="rId2"/>
    <sheet name="Conception &amp; ingénierie" sheetId="2" r:id="rId3"/>
    <sheet name="Déploiement &amp; extension infra" sheetId="3" r:id="rId4"/>
    <sheet name="Digitalisation" sheetId="4" r:id="rId5"/>
    <sheet name="Exploitation et maint infra" sheetId="5" r:id="rId6"/>
    <sheet name="Gestion budgétaire" sheetId="6" r:id="rId7"/>
    <sheet name="Gouvernance N&amp;IS" sheetId="7" r:id="rId8"/>
    <sheet name="Projets N&amp;IS" sheetId="8" r:id="rId9"/>
    <sheet name="Performance &amp; optimisation" sheetId="9" r:id="rId10"/>
    <sheet name="Sécurité &amp; Résilience SI" sheetId="10" r:id="rId11"/>
    <sheet name="Stratégie &amp; Evolution des infra" sheetId="11" r:id="rId12"/>
    <sheet name="Support et Assistance IT" sheetId="12" r:id="rId13"/>
    <sheet name="Support opérationnel aux activi" sheetId="13"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6" l="1"/>
  <c r="C7" i="14" s="1"/>
  <c r="B39" i="6"/>
  <c r="B7" i="14" s="1"/>
  <c r="D40" i="5"/>
  <c r="D23" i="13"/>
  <c r="C14" i="14" s="1"/>
  <c r="D43" i="7"/>
  <c r="C8" i="14" s="1"/>
  <c r="B43" i="7"/>
  <c r="B8" i="14" s="1"/>
  <c r="A15" i="14"/>
  <c r="D31" i="12"/>
  <c r="C13" i="14" s="1"/>
  <c r="B31" i="12"/>
  <c r="B13" i="14" s="1"/>
  <c r="D26" i="11"/>
  <c r="C12" i="14" s="1"/>
  <c r="B26" i="11"/>
  <c r="B12" i="14" s="1"/>
  <c r="B47" i="10"/>
  <c r="B11" i="14" s="1"/>
  <c r="D47" i="10"/>
  <c r="C11" i="14" s="1"/>
  <c r="D33" i="9"/>
  <c r="C10" i="14" s="1"/>
  <c r="B33" i="9"/>
  <c r="B10" i="14" s="1"/>
  <c r="D72" i="8"/>
  <c r="C9" i="14" s="1"/>
  <c r="B72" i="8"/>
  <c r="B9" i="14" s="1"/>
  <c r="C6" i="14"/>
  <c r="B40" i="5"/>
  <c r="B6" i="14" s="1"/>
  <c r="D28" i="4"/>
  <c r="C5" i="14" s="1"/>
  <c r="B28" i="4"/>
  <c r="B5" i="14" s="1"/>
  <c r="D41" i="3"/>
  <c r="C4" i="14" s="1"/>
  <c r="B41" i="3"/>
  <c r="B4" i="14" s="1"/>
  <c r="D31" i="2"/>
  <c r="C3" i="14" s="1"/>
  <c r="B31" i="2"/>
  <c r="B3" i="14" s="1"/>
  <c r="D35" i="1"/>
  <c r="C2" i="14" s="1"/>
  <c r="B35" i="1"/>
  <c r="B2" i="14" s="1"/>
  <c r="B23" i="13"/>
  <c r="B14" i="14" s="1"/>
  <c r="B15" i="14" l="1"/>
  <c r="C15" i="14"/>
</calcChain>
</file>

<file path=xl/sharedStrings.xml><?xml version="1.0" encoding="utf-8"?>
<sst xmlns="http://schemas.openxmlformats.org/spreadsheetml/2006/main" count="786" uniqueCount="665">
  <si>
    <t>Macro processus</t>
  </si>
  <si>
    <t>Micro processus</t>
  </si>
  <si>
    <t>Tâches</t>
  </si>
  <si>
    <t>Big Data &amp; Data Gouvernance (Network &amp; IS)</t>
  </si>
  <si>
    <t xml:space="preserve">Conception &amp; Ingénierie Networks &amp; IS  </t>
  </si>
  <si>
    <t xml:space="preserve">Déploiement &amp; Extension Infrastructure Networks &amp; IS </t>
  </si>
  <si>
    <t>Digitalisation Networks &amp; IS</t>
  </si>
  <si>
    <t>Exploitation &amp; Maintenance Infrastructure Networks &amp; IS</t>
  </si>
  <si>
    <t>Gestion budgétaire(Investissement et Opérationnel)</t>
  </si>
  <si>
    <t>Gouvernance Networks &amp; IS</t>
  </si>
  <si>
    <t>Management des Projets Networks &amp; IS</t>
  </si>
  <si>
    <t>Performance &amp; Optimisation Networks &amp; IS</t>
  </si>
  <si>
    <t>Sécurité &amp; Résilience des Systèmes d’Information Networks &amp; IS</t>
  </si>
  <si>
    <t>Stratégie &amp; Évolution des Infrastructures et Services</t>
  </si>
  <si>
    <t>Support &amp; Assistance IT Network &amp; IS</t>
  </si>
  <si>
    <t>Support Opérationnel aux Activités Networks &amp; IS</t>
  </si>
  <si>
    <r>
      <rPr>
        <b/>
        <u/>
        <sz val="18"/>
        <color rgb="FFC00000"/>
        <rFont val="Aptos Narrow"/>
        <family val="2"/>
        <scheme val="minor"/>
      </rPr>
      <t>Macro 13</t>
    </r>
    <r>
      <rPr>
        <b/>
        <sz val="18"/>
        <color rgb="FFC00000"/>
        <rFont val="Aptos Narrow"/>
        <family val="2"/>
        <scheme val="minor"/>
      </rPr>
      <t>: Big Data &amp; Data Gouvernance (Network &amp; IS)</t>
    </r>
  </si>
  <si>
    <t xml:space="preserve">                                                                             </t>
  </si>
  <si>
    <t xml:space="preserve"> Description Détaillée </t>
  </si>
  <si>
    <t>Process</t>
  </si>
  <si>
    <t>Description du process</t>
  </si>
  <si>
    <t>Identification des tâches</t>
  </si>
  <si>
    <t>Directions concernées</t>
  </si>
  <si>
    <t>Cette macro regroupe l’ensemble des activités liées à la gestion des données &amp; métadonnées dans l’écosystème technique et SI, depuis leur collecte jusqu’à leur valorisation métier. Elle s’inscrit dans les pratiques de Data Lifecycle Management en cohérence avec les référentiels eTOM (notamment AIM - Application, Information and Data Management) et ITIL (Service Operation, Continual Service Improvement).  
Elle couvre la collecte  et la consolidation des données issues des réseaux (fixes, mobiles), des systèmes IT, et des plateformes de service, via des pipelines d’ingestion adaptés. Elle intègre le stockage structuré et non structuré, la gestion rigoureuse des  données &amp; métadonnées, la gouvernance des accès, ainsi que la surveillance de la performance des environnements Big Data. La macro inclut également les usages analytiques des données pour optimiser les performances, anticiper les incidents, améliorer les services ou appuyer les décisions stratégiques. Enfin, elle encadre l’innovation basée sur la donnée et la conduite de projets Big Data, garantissant alignement métier et efficacité technologique.</t>
  </si>
  <si>
    <t xml:space="preserve"> Processus de collecte, ingestion et intégration des données </t>
  </si>
  <si>
    <t xml:space="preserve">Assurer la collecte, l'ingestion et l’intégration continue et fiable des données issues de différentes sources internes et externes au datalake et au datawarehouse de l’entreprise.
</t>
  </si>
  <si>
    <t xml:space="preserve"> Identifier les sources de données (réseaux, IT, services) </t>
  </si>
  <si>
    <t>Big Data &amp; Data Gouvernance</t>
  </si>
  <si>
    <t xml:space="preserve"> Mettre en œuvre les mécanismes d'igestion (connecteurs, API, agents) </t>
  </si>
  <si>
    <t xml:space="preserve"> Nettoyer, formater et normaliser les flux de données </t>
  </si>
  <si>
    <t xml:space="preserve"> Charger les données dans les environnements de traitement (data lake, entrepôts) </t>
  </si>
  <si>
    <t xml:space="preserve"> Processus de stockage et gestion des données &amp; métadonnées </t>
  </si>
  <si>
    <t>Ce Process concerne le stockage, l’organisation, la gouvernance, la sécurisation et la mise à disposition des données. Il garantit que les données soient accessibles, fiables et conformes aux exigences métier et réglementaires.</t>
  </si>
  <si>
    <t xml:space="preserve"> Organiser les espaces de stockage adaptés (fichiers, bases, entrepôts) </t>
  </si>
  <si>
    <t xml:space="preserve"> Mettre en œuvre les règles de rétention, archivage et purge </t>
  </si>
  <si>
    <t xml:space="preserve"> Maintenir les catalogues de données et les dictionnaires de métadonnées </t>
  </si>
  <si>
    <t xml:space="preserve"> Appliquer les droits d’accès et politiques de confidentialité </t>
  </si>
  <si>
    <t xml:space="preserve">La mise à disposition et l’exploitation des données </t>
  </si>
  <si>
    <t xml:space="preserve"> Processus d’exploitation et valorisation des données </t>
  </si>
  <si>
    <t>Le macro-processus regroupe l’ensemble des activités permettant de transformer les données en informations exploitables pour la prise de décision, l’optimisation des opérations et l’innovation via l’analytique avancée, la Business Intelligence (BI), le Machine Learning (ML) et l’Intelligence Artificielle (IA).
Il vise à extraire du sens des données, automatiser les analyses et fournir des insights stratégiques aux métiers</t>
  </si>
  <si>
    <t xml:space="preserve"> Concevoir des tableaux de bord opérationnels et décisionnels </t>
  </si>
  <si>
    <t xml:space="preserve"> Réaliser des analyses croisées (trafic, incidents, QoS, usages) </t>
  </si>
  <si>
    <t xml:space="preserve"> Développer des modèles statistiques ou prédictifs (BI, IA,ML)</t>
  </si>
  <si>
    <t>Automatiser  les ajustements des algorithmes, et workflows analytiques</t>
  </si>
  <si>
    <t xml:space="preserve">Concevoir des modèles expérimentaux pour tester différentes hypothèses et stratégies sur les clients (ex. changements dans les tarifs ou dans les services proposés).
</t>
  </si>
  <si>
    <t xml:space="preserve"> Publier des rapports périodiques ou à la demande </t>
  </si>
  <si>
    <t xml:space="preserve"> Processus de surveillance et optimisation des performances Big Data /DWH</t>
  </si>
  <si>
    <t xml:space="preserve">Le macro-processus "Surveillance et Optimisation des Performances de la plateforme Big Data/DWH" regroupe l’ensemble des activités permettant de superviser, analyser et optimiser la performance des infrastructures et des traitements de données.
Il vise à garantir la disponibilité, la scalabilité et l'efficacité du système Big Data / DWH en s’appuyant sur le monitoring en temps réel, l’optimisation des ressources et la gestion proactive des incidents.
</t>
  </si>
  <si>
    <t xml:space="preserve">Superviser l’écosystème Big Data / DWH </t>
  </si>
  <si>
    <t xml:space="preserve"> Identifier les anomalies ou points de saturation </t>
  </si>
  <si>
    <t xml:space="preserve">Gérer les ressources et scalabilté  </t>
  </si>
  <si>
    <t xml:space="preserve"> Documenter et tracer les optimisations mises en œuvre </t>
  </si>
  <si>
    <t xml:space="preserve"> Capitaliser sur les innovations réussies pour les industrialiser</t>
  </si>
  <si>
    <t xml:space="preserve">Automatisation et gestion pro-active des incidents (Détection automatique des pannes, actions correctives, processus de gestion des incidents).
</t>
  </si>
  <si>
    <t xml:space="preserve">Monter en compétence des équipes </t>
  </si>
  <si>
    <t xml:space="preserve"> Processus de gestion des projets Big Data (SI) </t>
  </si>
  <si>
    <t xml:space="preserve"> Ce processus concerne la gestion des projets liés à l’exploitation du Big Data, de la conception à la mise en production dans le respect des exigences métiers. </t>
  </si>
  <si>
    <t>Identifier les projets stratégiques où l’utilisation du Big Data peut générer de la valeur ajoutée (ex. optimisation du réseau, analyse comportementale des clients, détection de fraudes).</t>
  </si>
  <si>
    <t xml:space="preserve">Sélectionner et déployer les technologies Big Data (Hadoop, Spark, NoSQL, etc.) pour stocker et traiter de grandes quantités de données. 
</t>
  </si>
  <si>
    <t>Piloter les projets Big Data</t>
  </si>
  <si>
    <t xml:space="preserve"> Processus d’innovation et transformation numérique </t>
  </si>
  <si>
    <t xml:space="preserve"> Ce processus s'inscrit dans la vision stratégique à long terme de l’opérateur télécom pour intégrer de nouvelles technologies et transformer les modèles d'affaires grâce à la donnée.</t>
  </si>
  <si>
    <t xml:space="preserve">Assurer la veille technologique et innovation </t>
  </si>
  <si>
    <t>Mettre en œuvre de projets pour transformer les processus internes et améliorer les interactions avec les clients en utilisant les données (ex. chatbots, recommandations personnalisées).</t>
  </si>
  <si>
    <r>
      <rPr>
        <b/>
        <u/>
        <sz val="18"/>
        <color rgb="FFC00000"/>
        <rFont val="Aptos Narrow"/>
        <family val="2"/>
        <scheme val="minor"/>
      </rPr>
      <t>Macro 05</t>
    </r>
    <r>
      <rPr>
        <b/>
        <sz val="18"/>
        <color rgb="FFC00000"/>
        <rFont val="Aptos Narrow"/>
        <family val="2"/>
        <scheme val="minor"/>
      </rPr>
      <t xml:space="preserve">: Conception &amp; Ingénierie Networks &amp; IS  </t>
    </r>
  </si>
  <si>
    <t>Ce macro-processus s’inscrit dans les pratiques "Service Design" d’ITIL et "Infrastructure Lifecycle Management" d’eTOM, tout en preparant  le terrain au déploiement et en garantissant que les solutions techniques à mettre en œuvre soient cohérentes, performantes, sécurisées et conformes aux normes réquises.
Il débute par la définition des besoins et l’analyse de faisabilité, qui permet d’identifier les exigences Networks &amp;IS et d’évaluer leur faisabilité sur les plans technique, budgetaire et environnemental.
Il suit la conception d’architecture Networks &amp;IS , où sont définis la topologie cible, les protocoles, les principes de sécurité et d’interconnexion avec les systèmes OSS/BSS.
L’ingénierie détaillée prend ensuite le relais pour produire les plans techniques opérationnels (schémas FO, configurations IP, dimensionnements, etc.). Ce travail alimente le choix des ressources, permettant d’établir les BoM et BoQ adaptés. Avant de passer au déploiement, une revue de conception et validation technique est réalisée pour garantir la conformité aux exigences techniques, HSE et  performance.
Enfin, le transfert vers les équipes de déploiement assure une passation complète et documentée des livrables (plans, configurations, scripts) vers les deploiements et les extensions . Chaque processus s’enchaîne de manière fluide, l’output de l’un devenant l’input du suivant, assurant une traçabilité et une qualité de conception bout-en-bout.</t>
  </si>
  <si>
    <t>Process de définition des besoins metiers  et analyse de faisabilité</t>
  </si>
  <si>
    <t xml:space="preserve"> Identifier et qualifier tous  les besoins , et évaluer leur faisabilité </t>
  </si>
  <si>
    <t xml:space="preserve"> Recueillir les besoins métiers (projets, évolution, couverture, capacité, veille technologique) </t>
  </si>
  <si>
    <t xml:space="preserve">
Direction Network Engineering
IT Product &amp; Project Delivery
</t>
  </si>
  <si>
    <t xml:space="preserve"> Traduire les besoins en exigences techniques (Radio, Transmission, FO, IP, IT, Énergie etc...) </t>
  </si>
  <si>
    <t xml:space="preserve"> Réaliser l’analyse de faisabilité technique et financière </t>
  </si>
  <si>
    <t xml:space="preserve"> Intégrer les contraintes environnementales et réglementaires </t>
  </si>
  <si>
    <t xml:space="preserve"> Processus de conception des architectures Networks &amp;IS</t>
  </si>
  <si>
    <t xml:space="preserve"> Concevoir une solution cible alignée avec les standards et les exigences </t>
  </si>
  <si>
    <t xml:space="preserve"> Élaborer la topologie réseau et les choix technologiques </t>
  </si>
  <si>
    <t>Direction Network Engineering
IT Product &amp; Project Delivery</t>
  </si>
  <si>
    <t xml:space="preserve"> Définir les principes de redondance, sécurisation et interopérabilité </t>
  </si>
  <si>
    <t xml:space="preserve"> Documenter les interfaces OSS/BSS et les dépendances techniques </t>
  </si>
  <si>
    <t>Élaborer les diagrammes d’architecture et plans logiques.</t>
  </si>
  <si>
    <t xml:space="preserve"> Processus de réalisation des plans d'Ingénierie détaillée </t>
  </si>
  <si>
    <t>Produire les plans techniques et configurations détaillées.</t>
  </si>
  <si>
    <t xml:space="preserve">Elaborer dans les détails les schémas de câblage et d’architecture physique </t>
  </si>
  <si>
    <t xml:space="preserve"> Générer les configurations types avec tous les détailles.</t>
  </si>
  <si>
    <t xml:space="preserve"> Dimensionner les capacités et calculer les marges techniques </t>
  </si>
  <si>
    <t xml:space="preserve">Dcumenter les fiches techniques et guides d’installation </t>
  </si>
  <si>
    <t xml:space="preserve"> Processus de d'identification des ressources (BoM/BoQ) </t>
  </si>
  <si>
    <t xml:space="preserve"> Identifier l’ensemble des ressources matérielles, humaines , logicielles et licences nécessaires .</t>
  </si>
  <si>
    <t xml:space="preserve"> Lister les équipements actifs/passifs requis </t>
  </si>
  <si>
    <t xml:space="preserve"> Évaluer les quantités nécessaire par projet .</t>
  </si>
  <si>
    <t xml:space="preserve"> Estimer les versions logicielles et les licences associées </t>
  </si>
  <si>
    <t xml:space="preserve"> Valider les prérequis  avec les standards opérateur.</t>
  </si>
  <si>
    <t xml:space="preserve"> Processus de  validation technique et revue de conception </t>
  </si>
  <si>
    <t xml:space="preserve">Garantir la conformité et la robustesse technique du design avant déploiement. </t>
  </si>
  <si>
    <t xml:space="preserve"> Organiser une revue technique multi-acteurs </t>
  </si>
  <si>
    <t xml:space="preserve"> Contrôler la conformité avec les normes internes et HSE </t>
  </si>
  <si>
    <t>Documenter les écarts et ajuster les plans si nécessaire.</t>
  </si>
  <si>
    <t>Valider officiellement la conception pour transfert.</t>
  </si>
  <si>
    <t xml:space="preserve"> Processus de Hand-over vers le déploiement </t>
  </si>
  <si>
    <t xml:space="preserve">  Assurer la transmission complète et traçable du dossier d’ingénierie pour mise en œuvre. </t>
  </si>
  <si>
    <t xml:space="preserve"> Compiler le Design Package (plans, schémas, BoM/BoQ, scripts, fiches).</t>
  </si>
  <si>
    <t xml:space="preserve"> Réaliser la revue et une réunion de transfert avec les équipes de deploiement . </t>
  </si>
  <si>
    <t xml:space="preserve"> Fournir les jeux de configuration et consignes d’intégration.</t>
  </si>
  <si>
    <t xml:space="preserve"> Archiver les documents validés dans le référentiel documentaire.</t>
  </si>
  <si>
    <t xml:space="preserve">Obtenir le GO pourr le deploiement . </t>
  </si>
  <si>
    <r>
      <rPr>
        <b/>
        <u/>
        <sz val="18"/>
        <color rgb="FFC00000"/>
        <rFont val="Aptos Narrow"/>
        <family val="2"/>
        <scheme val="minor"/>
      </rPr>
      <t>Macro 06</t>
    </r>
    <r>
      <rPr>
        <b/>
        <sz val="18"/>
        <color rgb="FFC00000"/>
        <rFont val="Aptos Narrow"/>
        <family val="2"/>
        <scheme val="minor"/>
      </rPr>
      <t xml:space="preserve">: Déploiement &amp; Extension Infrastructure Networks &amp; IS </t>
    </r>
  </si>
  <si>
    <t>Cette macro englobe l’ensemble des activités permettant de réaliser les architectures conçues en infrastructures réellement opérationnelles, tant sur les réseaux mobiles, fixes, de transport, que sur les plateformes informatiques (serveurs, virtualisation, stockage etc). Elle couvre le cycle complet de mise en œuvre, extension, modernisation des ressources physiques et logiquesjusqu'a leurs mise en service . Elle débute après la phase d’ingénierie, et s’inscrit dans le domaine « Capacity &amp; Resource Delivery » de l’eTOM et le domaine « Service Transition » de l’ITIL v4. Elle garantit que les solutions sont livrées en conformité avec les exigences de performance, qualité de service, sécurité et continuité, tout en assurant une coordination rigoureuse entre les équipes projet, terrain, support et fournisseurs. Les étapes clés incluent : la planification détaillée du déploiement, la réservation et le provisioning des ressources, l’installation et la configuration des équipements, l’intégration dans l’écosystème existant, les tests d’acceptance, la documentation finale et le hand‑over vers l’exploitation.</t>
  </si>
  <si>
    <t xml:space="preserve"> Processus de planification des déploiements </t>
  </si>
  <si>
    <t xml:space="preserve"> Définir et organiser les lots de déploiement ou d’extension des infrastructures Radio, FH/FO, IP/MPLS, Core et plateforme etc,en cohérence avec les capacités, priorités projets et contraintes opérationnelles &amp; budgetaires. </t>
  </si>
  <si>
    <t>Définir le périmètre du déploiement (type de services, zones, sites, etc)</t>
  </si>
  <si>
    <t xml:space="preserve">
Direction Network Engineering
Direction Infrastructure
Infrastructure IT
IT Product &amp; Project Delivery
Direction PMO &amp; Gouvernance
</t>
  </si>
  <si>
    <t xml:space="preserve"> Consolider les besoins issus de l’ingénierie et du capacity planning</t>
  </si>
  <si>
    <t xml:space="preserve"> Élaborer le plan directeur de déploiement (phases, priorités, jalons)</t>
  </si>
  <si>
    <t xml:space="preserve"> Évaluer les impacts sur les systèmes existants</t>
  </si>
  <si>
    <t xml:space="preserve"> Coordonner toutes les parties prenantes ( Internes et Externes)</t>
  </si>
  <si>
    <t>Organiser la gouvernance projet et le pilotage interdomaines</t>
  </si>
  <si>
    <t>Processus de provisionning des ressources</t>
  </si>
  <si>
    <t xml:space="preserve">Mettre à disposition les ressources physiques, logicielles, humaines et virtuelles nécessaires au déploiement des infrastructures et services, tout en prevoyant la mise à disposition d'un stock minimal en PDR  pour la maintenance </t>
  </si>
  <si>
    <t>Émettre les commandes d’équipements (BBU, RRU, MW, routers, servers, licences VM, middleware etc,,,)</t>
  </si>
  <si>
    <t xml:space="preserve">
Direction Network Engineering
Direction Infrastructure
Infrastructure IT
IT Product &amp; Project Delivery
Direction Technical Business Support
</t>
  </si>
  <si>
    <t xml:space="preserve"> Assurer la gestion logistique (réception, entreposage, acheminement site, suivi de lot)</t>
  </si>
  <si>
    <t xml:space="preserve"> Préparer les configurations initiales  (preload, scripts initiaux)</t>
  </si>
  <si>
    <t xml:space="preserve"> Faire les previsions techniques (Réserver les adresses IP, VLAN, numérotations)</t>
  </si>
  <si>
    <t xml:space="preserve"> Valider la disponibilité et la conformité des ressources allouées ,</t>
  </si>
  <si>
    <t xml:space="preserve"> Processus d’installation et de déploiement sur site</t>
  </si>
  <si>
    <t>Réaliser l’installation physique et la mise en service des éléments passifs et actifs (énergie, FH/FO, antennes, IP nodes, serveurs) selon les standards opérateur et exigences de sécurité.</t>
  </si>
  <si>
    <t xml:space="preserve"> Effectuer la mise en place de l’infrastructure passive (armoire, ODF, DDF, chemins de câbles, grounding)</t>
  </si>
  <si>
    <t xml:space="preserve">
Direction Network Engineering
Direction Infrastructure
Infrastructure IT
</t>
  </si>
  <si>
    <t xml:space="preserve"> Installer les équipements actifs (RBS/eNB/gNB, routers, switches, firewalls, serveurs, stockage)</t>
  </si>
  <si>
    <t xml:space="preserve"> Réaliser les liaisons FH/FO, les tests d’atténuation et d’alimentation</t>
  </si>
  <si>
    <t xml:space="preserve"> Vérifier la connectivité intrasite et intersite</t>
  </si>
  <si>
    <t xml:space="preserve"> Valider l’installation physique conforme aux plans </t>
  </si>
  <si>
    <t>Processus de configuration, intégration réseau et interconnexion</t>
  </si>
  <si>
    <t>Configurer les équipements déployés et assurer leur intégration dans les réseaux existants (radio, transport, cœur, IT) et dans les systèmes de gestion (OSS, BSS...).</t>
  </si>
  <si>
    <t xml:space="preserve"> Charger les configurations initiales (paramètres RF, IP, VLAN, routage, sécurité)</t>
  </si>
  <si>
    <t>Direction Network Engineering
Direction Infrastructure
Infrastructure IT
IT Product &amp; Project Delivery</t>
  </si>
  <si>
    <t xml:space="preserve"> Effectuer les intégrations dans les contrôleurs (BSC, RNC, eNB, gNB, routers, EPC, 5GC)</t>
  </si>
  <si>
    <t xml:space="preserve"> Enregistrer les équipements dans les outils OSS (ENM, U2000, SolarWinds, etc.)</t>
  </si>
  <si>
    <t xml:space="preserve"> Connecter les serveurs/VM aux environnements applicatifs et bases de données</t>
  </si>
  <si>
    <t xml:space="preserve"> Vérifier la communication bidirectionnelle OSS ↔ SI (alarme, inventaire, PM)</t>
  </si>
  <si>
    <t>Processus de tests et mise en service opérationnelle</t>
  </si>
  <si>
    <t>Assurer la conformité technique et fonctionnelle du déploiement à travers des tests d’acceptance couvrant les couches physiques, IP, applicatives et de service, avant bascule en production.</t>
  </si>
  <si>
    <t xml:space="preserve"> Élaborer les plans de tests (fonctionnels, charge, QoS) </t>
  </si>
  <si>
    <t xml:space="preserve">Direction Network Engineering
Direction Infrastructure
Infrastructure IT
IT Product &amp; Project Delivery
</t>
  </si>
  <si>
    <t xml:space="preserve"> Vérifier la QoS (KPIs RSRP, SINR, RTT, throughput, CPU/Memory)</t>
  </si>
  <si>
    <t xml:space="preserve"> Effectuer les tests des services de bout en bout (service voice, data, signaling, API)</t>
  </si>
  <si>
    <t xml:space="preserve">Processus d'Acceptance </t>
  </si>
  <si>
    <t>verifier et valider les aspects techniques des deploiements et des extensions ,</t>
  </si>
  <si>
    <t xml:space="preserve">contrôler la conformité des installations </t>
  </si>
  <si>
    <t>Direction Network Engineering</t>
  </si>
  <si>
    <t xml:space="preserve">effectuer des tests technique necessaire </t>
  </si>
  <si>
    <t>Direction Infrastructure</t>
  </si>
  <si>
    <t xml:space="preserve"> Documenter les résultats et écarts </t>
  </si>
  <si>
    <t>Infrastructure IT</t>
  </si>
  <si>
    <t>Signer les PV d’acceptance</t>
  </si>
  <si>
    <t>IT Product &amp; Project Delivery</t>
  </si>
  <si>
    <t>Processus de transfert aux opérations et clôture projet</t>
  </si>
  <si>
    <t>Documenter l’ensemble du déploiement (infrastructures, configurations, résultats de tests) et assurer le transfert complet( Document ,PDR,Competences)  vers les entités d’exploitation, de supervision et de support applicatif</t>
  </si>
  <si>
    <t xml:space="preserve"> Compiler les livrables techniques (plans, configs, PV,  logs)</t>
  </si>
  <si>
    <t xml:space="preserve">Direction Network Engineering
Direction Infrastructure
Infrastructure IT
IT Product &amp; Project Delivery
Direction Core Network (iSOC + Métiers)
IT Operations
</t>
  </si>
  <si>
    <t xml:space="preserve"> Mettre à jour la CMDB et les inventaires réseau/SI</t>
  </si>
  <si>
    <t xml:space="preserve"> Integrer les nouveau équipements et extensions  dans les outils de suppervision</t>
  </si>
  <si>
    <t xml:space="preserve"> Effectuer le transfert (Responsabilité, Document ,PDRetc,,,)  vers les equipes metier et de supervision </t>
  </si>
  <si>
    <t>Effectuer le transfert de compétence via des formations adaptées aux équipes d'exploitation et de supervision</t>
  </si>
  <si>
    <t xml:space="preserve"> Clôturer le projet dans le portefeuille de déploiement et capitaliser les retours d’expérience</t>
  </si>
  <si>
    <r>
      <rPr>
        <b/>
        <u/>
        <sz val="18"/>
        <color rgb="FFC00000"/>
        <rFont val="Aptos Narrow"/>
        <family val="2"/>
        <scheme val="minor"/>
      </rPr>
      <t>Macro  12 :</t>
    </r>
    <r>
      <rPr>
        <b/>
        <sz val="18"/>
        <color rgb="FFC00000"/>
        <rFont val="Aptos Narrow"/>
        <family val="2"/>
        <scheme val="minor"/>
      </rPr>
      <t xml:space="preserve"> Digitalisation Networks &amp; IS</t>
    </r>
  </si>
  <si>
    <t>Cette macro couvre l’ensemble des activités visant à automatiser, digitaliser et moderniser les processus, outils et services N&amp;IS avec une exigence sur leurs securités et conformités . Elle inclut la conception et le déploiement de solutions de digitalisation, l’automatisation des workflows techniques (provisioning,  supervision etc,,,), l’intégration d’outils DevOps/NetOps, et la mise en œuvre de portails utilisateurs et self-service. Elle s’aligne sur les bonnes pratiques eTOM et ITIL . Son objectif est d’améliorer la rapidité d’exécution, la qualité des services, la réduction des tâches manuelles, et de renforcer l’agilité opérationnelle des équipes techniques.</t>
  </si>
  <si>
    <t xml:space="preserve"> Processus d'agilité des Projets de digitalisation 
 </t>
  </si>
  <si>
    <t xml:space="preserve">Piloter efficacement les projets de développement logiciel en assurant flexibilité, réactivité et collaboration avec les parties prenantes.
</t>
  </si>
  <si>
    <t xml:space="preserve">Gestion des sprints (Scrum, Kanban) : Planification, backlog, daily meetings.
</t>
  </si>
  <si>
    <t xml:space="preserve">Digital &amp; Innovation </t>
  </si>
  <si>
    <t xml:space="preserve">Collaboration et suivi : Utilisation d’outils comme JIRA, Confluence, MS PROJECTS..
</t>
  </si>
  <si>
    <t>Priorisation des tâches : Affectation et suivi des tickets de développement</t>
  </si>
  <si>
    <t xml:space="preserve">Suivi des indicateurs (KPI) : Mesure de la vélocité, qualité du code, délais.
</t>
  </si>
  <si>
    <t xml:space="preserve">Cycle de vie du développement logiciel (SDLC)
</t>
  </si>
  <si>
    <t xml:space="preserve"> Identifier, analyser et digitaliser les processus manuels des équipes réseaux et IT. </t>
  </si>
  <si>
    <t xml:space="preserve">Analyse des besoins </t>
  </si>
  <si>
    <t>Conception &amp;Développement</t>
  </si>
  <si>
    <t xml:space="preserve"> Gestion du code source </t>
  </si>
  <si>
    <t xml:space="preserve">Tester ,Valider,deployer,monitorer  et Maintenir  </t>
  </si>
  <si>
    <t xml:space="preserve">DevOps &amp; Intégration Continue/Déploiement Continu (CI/CD)
 </t>
  </si>
  <si>
    <t xml:space="preserve"> Automatiser  et fludifier les tâches techniques répétitives ou critiques (provisioning, patching, configuration). </t>
  </si>
  <si>
    <t xml:space="preserve"> Identifier les tâches récurrentes à fort volume </t>
  </si>
  <si>
    <t xml:space="preserve"> Développer les scripts ou playbooks d'automatisation </t>
  </si>
  <si>
    <t xml:space="preserve"> Intégrer les outils dans les chaînes CI/CD</t>
  </si>
  <si>
    <t xml:space="preserve"> Tester et déployer en production contrôlée </t>
  </si>
  <si>
    <t xml:space="preserve"> Processus de Modernisation des applications métiers </t>
  </si>
  <si>
    <t xml:space="preserve"> Mettre en œuvre des transitions vers des solutions numériques avancées pour ameliorer leurs sécurités  et compatibilité avec les nouvelles technologies. (applications mobiles, portails self-service).</t>
  </si>
  <si>
    <t xml:space="preserve"> Évaluer les besoins d’orchestration (multi-domaines) </t>
  </si>
  <si>
    <t xml:space="preserve"> Sélectionner et paramétrer les orchestrateurs </t>
  </si>
  <si>
    <t xml:space="preserve"> Intégrer les outils aux SI existants (OSS/BSS) </t>
  </si>
  <si>
    <t xml:space="preserve"> Monitorer l’exécution des processus automatisés </t>
  </si>
  <si>
    <t xml:space="preserve">Processus de Gestion de la securité et conformité des applications
</t>
  </si>
  <si>
    <t xml:space="preserve">Garantir la sécurité des logiciels et des données, en conformité avec les réglementations et standards du secteur télécom.
</t>
  </si>
  <si>
    <t xml:space="preserve"> Tests de sécurité </t>
  </si>
  <si>
    <t xml:space="preserve">Gestion des accès et identités </t>
  </si>
  <si>
    <t xml:space="preserve">Chiffrement et protection des données </t>
  </si>
  <si>
    <t xml:space="preserve">Conformité réglementaire : Respect des normes GDPR, ISO 27001, PCI-DSS
</t>
  </si>
  <si>
    <r>
      <rPr>
        <b/>
        <u/>
        <sz val="18"/>
        <color rgb="FFC00000"/>
        <rFont val="Aptos Narrow"/>
        <family val="2"/>
        <scheme val="minor"/>
      </rPr>
      <t>Macro  07</t>
    </r>
    <r>
      <rPr>
        <b/>
        <sz val="18"/>
        <color rgb="FFC00000"/>
        <rFont val="Aptos Narrow"/>
        <family val="2"/>
        <scheme val="minor"/>
      </rPr>
      <t xml:space="preserve"> : Exploitation &amp; Maintenance Infrastructure Networks &amp; IS</t>
    </r>
  </si>
  <si>
    <r>
      <t xml:space="preserve">Cette macro regroupe l’ensemble des activités nécessaires pour assurer le fonctionnement continu, la surveillance, la maintenance corrective&amp; préventive et les changements sur les infrastructures N&amp;IS, tout en garantissant la QoS. Elle couvre la coordination avec les ressources support. Elle s’appuie sur les processus Operations d’eTOM  et sur les  best practice d’ITIL (Incident, Event, Problem, Access, Request). Elle vise à restaurer le service le plus vite possible, minimiser les interruptions, anticiper les pannes, optimiser la fiabilité, reduire les pannes recurenttes  et prolonger la durée de vie des équipements.
Les principales activités sont :
- Surveillance et détection d’incidents &amp; problemes (Critique , Majeur , mineur ) sur les équipements, liens et les services via les les plateformes dediées 
- Gestion des incidents : priorisation, diagnostic, escalade, résolution, communication, clôture.
- Gestion des problèmes : identification de causes profondes, suivi des actions correctives.  
- Gestion des changements : Pilotation des demandes de changement de bout en bout 
</t>
    </r>
    <r>
      <rPr>
        <sz val="12"/>
        <rFont val="Aptos Narrow"/>
        <family val="2"/>
        <scheme val="minor"/>
      </rPr>
      <t>- Maintenance curative et préventive   
- Analyse de fiabilité et tendances (Suivi Indicateurs)</t>
    </r>
    <r>
      <rPr>
        <sz val="12"/>
        <color theme="1"/>
        <rFont val="Aptos Narrow"/>
        <family val="2"/>
        <scheme val="minor"/>
      </rPr>
      <t xml:space="preserve"> : suivi des indicateurs (DR1,DR2,MTTR, MTBF, taux de panne, taux de disponibilité etc. . . )  
- Interface avec les équipes de support</t>
    </r>
    <r>
      <rPr>
        <sz val="12"/>
        <rFont val="Aptos Narrow"/>
        <family val="2"/>
        <scheme val="minor"/>
      </rPr>
      <t xml:space="preserve"> (Logistique, prestataire, Business support, Gestion des pièces de rechange et  la planification des interventions)
</t>
    </r>
    <r>
      <rPr>
        <sz val="12"/>
        <color theme="1"/>
        <rFont val="Aptos Narrow"/>
        <family val="2"/>
        <scheme val="minor"/>
      </rPr>
      <t>'-Gestion des pièces de rechange et  la planification des interventions
- Documentation et reporting : mise à jour de la base de connaissance  des incidents.
Cette macro assure que les services délivrés  sont disponibles, fiables et performants, tout en anticipant les dégradations et en pilotant l’amélioration continue.</t>
    </r>
  </si>
  <si>
    <t xml:space="preserve"> Processus de supervision </t>
  </si>
  <si>
    <t xml:space="preserve"> Surveiller en temps réel l’état des équipements, services et ressources réseaux et IT pour détecter les anomalies ou dégradations. </t>
  </si>
  <si>
    <t xml:space="preserve"> Collecter les evenements via les outils de monitoring </t>
  </si>
  <si>
    <t xml:space="preserve">
Direction Core Operations(iSOC)
IT Operations(iSOC)
</t>
  </si>
  <si>
    <t xml:space="preserve"> Détecter les alarmes et événements anormaux </t>
  </si>
  <si>
    <t xml:space="preserve"> Corréler les alertes multi-domaines </t>
  </si>
  <si>
    <t xml:space="preserve"> Qualifier et prioriser les événements </t>
  </si>
  <si>
    <t xml:space="preserve"> Processus de gestion des incidents </t>
  </si>
  <si>
    <t xml:space="preserve"> Gérer les incidents pour restaurer le service le plus rapidement possible tout en limitant l’impact sur les utilisateurs ou systèmes. </t>
  </si>
  <si>
    <t xml:space="preserve"> Enregistrer les incidents détectés ou déclarés et le classifier</t>
  </si>
  <si>
    <t xml:space="preserve">
Direction Core Operations(iSOC)
IT Operations(iSOC)</t>
  </si>
  <si>
    <t xml:space="preserve"> Diagnostiquer la cause immédiate </t>
  </si>
  <si>
    <t xml:space="preserve"> Réaliser les actions de niveau 1 si necessaire </t>
  </si>
  <si>
    <t xml:space="preserve"> Escalader selon la criticité </t>
  </si>
  <si>
    <t xml:space="preserve"> Communiquer avec les parties prenantes </t>
  </si>
  <si>
    <t xml:space="preserve"> Clôturer et documenter l’incident </t>
  </si>
  <si>
    <t xml:space="preserve"> Processus de gestion des problèmes </t>
  </si>
  <si>
    <t xml:space="preserve"> Identifier et corriger les causes racines des incidents récurrents ou majeurs pour éviter leur réapparition. </t>
  </si>
  <si>
    <t xml:space="preserve"> Identifier les problèmes à partir d’incidents récurrents </t>
  </si>
  <si>
    <t>Direction Core Operations(iSOC)
IT Operations(iSOC)</t>
  </si>
  <si>
    <t xml:space="preserve"> Réaliser les analyses de cause racine (RCA) </t>
  </si>
  <si>
    <t xml:space="preserve"> Identifier les erreurs connues et proposer des solutions </t>
  </si>
  <si>
    <t xml:space="preserve"> Suivre la mise en œuvre des actions correctives </t>
  </si>
  <si>
    <t xml:space="preserve"> Mettre à jour la base de connaissances </t>
  </si>
  <si>
    <t xml:space="preserve"> Processus de Gestion de changement</t>
  </si>
  <si>
    <t>Piloter les modifications N&amp;IS (configurations, migrations, Ajout , Suppression etc).</t>
  </si>
  <si>
    <t xml:space="preserve">Justifier le changement </t>
  </si>
  <si>
    <t>Direction Core Operations
Directions Field Operations
Direction Energie
Direction Field Network
IT Operations
Gestionnaires plateformes IT</t>
  </si>
  <si>
    <t xml:space="preserve">soumettre la demande de changement </t>
  </si>
  <si>
    <t>faire valider par le comité de changement</t>
  </si>
  <si>
    <t>planifier la fenêtre de maintenance</t>
  </si>
  <si>
    <t xml:space="preserve">exécuter le changement </t>
  </si>
  <si>
    <t>réaliser des tests après changement</t>
  </si>
  <si>
    <t xml:space="preserve">Suivre les KPI de performance après le changement </t>
  </si>
  <si>
    <t xml:space="preserve">Cloturer l'activité </t>
  </si>
  <si>
    <t xml:space="preserve">mettre à jour la documentation </t>
  </si>
  <si>
    <t xml:space="preserve"> Processus de maintenance préventive </t>
  </si>
  <si>
    <t xml:space="preserve"> Exécuter les actions techniques nécessaires pour prévenir les défaillances  et maintenir en bon etat les infrastructures. </t>
  </si>
  <si>
    <t xml:space="preserve"> Planifier les maintenances préventives </t>
  </si>
  <si>
    <t xml:space="preserve"> Réaliser les opérations de vérification régulières </t>
  </si>
  <si>
    <t xml:space="preserve"> Intervenir sur site </t>
  </si>
  <si>
    <t xml:space="preserve"> Mettre à jour les historiques d’intervention </t>
  </si>
  <si>
    <t xml:space="preserve"> Processus de gestion des accès techniques </t>
  </si>
  <si>
    <t xml:space="preserve"> Gérer les droits d’accès physiques  aux infrastructures réseau et IT pour garantir la sécurité et la traçabilité des interventions. </t>
  </si>
  <si>
    <t>Vérifier les habilitations des personnes entrant sur site</t>
  </si>
  <si>
    <t>Direction Infrastructure
Infrastructure IT
Direction Field Operations
Direction Core Operations
Cybersécurité</t>
  </si>
  <si>
    <t xml:space="preserve"> Enregistrer et valider ou faire valider les demandes d'accès </t>
  </si>
  <si>
    <t xml:space="preserve">Tenir à jour le registre d’accès </t>
  </si>
  <si>
    <t xml:space="preserve"> Auditer périodiquement les accès </t>
  </si>
  <si>
    <t xml:space="preserve">Appliquer les recommandations après Audit  </t>
  </si>
  <si>
    <r>
      <rPr>
        <b/>
        <u/>
        <sz val="18"/>
        <color rgb="FFC00000"/>
        <rFont val="Aptos Narrow"/>
        <family val="2"/>
        <scheme val="minor"/>
      </rPr>
      <t>Macro 04</t>
    </r>
    <r>
      <rPr>
        <b/>
        <sz val="18"/>
        <color rgb="FFC00000"/>
        <rFont val="Aptos Narrow"/>
        <family val="2"/>
        <scheme val="minor"/>
      </rPr>
      <t>: Gestion budgétaire(Investissement et Opérationnel)</t>
    </r>
  </si>
  <si>
    <t>Ce macro-processus regroupe l’ensemble des processus liés à la gestion financière des activités techniques réseau et IT. Elle vise à planifier, exécuter, suivre et ajuster les budgets CAPEX (investissements) et OPEX (fonctionnement) en garantissant leur alignement avec les orientations stratégiques, les capacités techniques et les contraintes économiques. Elle comprend l’identification des besoins budgétaires, l’élaboration des prévisions, l’allocation des ressources, le suivi des consommations réelles, l’analyse des écarts, et la mise en place de plans d’optimisation. Elle s’appuie sur une collaboration étroite avec les équipes financières et les responsables techniques. Elle mobilise les domaines eTOM sur le Financial &amp; Asset Management et Enterprise Strategic Planning.</t>
  </si>
  <si>
    <t xml:space="preserve"> Processus d’identification des besoins budgétaires </t>
  </si>
  <si>
    <t xml:space="preserve"> Recenser et qualifier les besoins financiers liés aux projets, opérations et évolutions techniques à venir. </t>
  </si>
  <si>
    <t xml:space="preserve"> Identifier les besoins par Departements/Services/Directions</t>
  </si>
  <si>
    <t>CTIO
Direction Technical business support
G&amp;PMO
Toutes les Directions Network &amp;IS</t>
  </si>
  <si>
    <t xml:space="preserve"> Consolider les expressions de besoins </t>
  </si>
  <si>
    <t xml:space="preserve"> Estimer les coûts prévisionnels CAPEX/OPEX </t>
  </si>
  <si>
    <t xml:space="preserve"> Classer les besoins par priorité et criticité </t>
  </si>
  <si>
    <t xml:space="preserve"> Processus d'éléboration du budget prévisionnelle </t>
  </si>
  <si>
    <t xml:space="preserve"> Élaborer les budgets annuels et pluriannuels en alignement avec les besoins,  orientations stratégiques et les contraintes économiques. </t>
  </si>
  <si>
    <t xml:space="preserve"> Collecter les projections financières des Departements/Services/Directions</t>
  </si>
  <si>
    <t xml:space="preserve"> Consolider les enveloppes CAPEX et OPEX </t>
  </si>
  <si>
    <t xml:space="preserve"> Arbitrer les priorités budgétaires </t>
  </si>
  <si>
    <t>Identifier et prendre en compte les besoins budgétaires croisés avec les directions partenaires impactées (et impactantes)</t>
  </si>
  <si>
    <t xml:space="preserve"> Soumettre les budgets aux instances de validation </t>
  </si>
  <si>
    <t xml:space="preserve"> Processus d’allocation et ventilation budgétaire </t>
  </si>
  <si>
    <t xml:space="preserve"> Répartir les ressources financières par projet, activité ou entité pour assurer un usage optimal des fonds disponibles. </t>
  </si>
  <si>
    <t xml:space="preserve"> Définir les règles de ventilation budgétaire </t>
  </si>
  <si>
    <t xml:space="preserve"> Allouer les enveloppes par projet ou besoin</t>
  </si>
  <si>
    <t xml:space="preserve"> Notifier les affectations aux parties prenantes </t>
  </si>
  <si>
    <t xml:space="preserve"> Mettre à jour les référentiels de suivi budgétaire </t>
  </si>
  <si>
    <t xml:space="preserve"> Processus de suivi et pilotage de la consommation budgétaire </t>
  </si>
  <si>
    <t xml:space="preserve"> Contrôler l’exécution des dépenses par rapport aux prévisions pour assurer la maîtrise financière continue. </t>
  </si>
  <si>
    <t xml:space="preserve"> Suivre la consommation budgétaire en temps réel </t>
  </si>
  <si>
    <t xml:space="preserve"> Comparer dépenses engagées vs prévisionnelles </t>
  </si>
  <si>
    <t xml:space="preserve"> Identifier les écarts significatifs </t>
  </si>
  <si>
    <t xml:space="preserve"> Réaliser les reportings périodiques </t>
  </si>
  <si>
    <t xml:space="preserve"> Processus d’analyse et justification des écarts </t>
  </si>
  <si>
    <t xml:space="preserve"> Analyser les écarts budgétaires,  déterminer les causes et proposer des ajustements pour corriger les dérives. </t>
  </si>
  <si>
    <t xml:space="preserve"> Collecter les données de dépenses réelles </t>
  </si>
  <si>
    <t xml:space="preserve"> Analyser les écarts par ligne budgétaire </t>
  </si>
  <si>
    <t xml:space="preserve"> Identifier les facteurs d’écart (retard, surcoût etc...) </t>
  </si>
  <si>
    <t xml:space="preserve"> Proposer des mesures correctives </t>
  </si>
  <si>
    <t xml:space="preserve"> Processus d’optimisation et d’arbitrage budgétaire </t>
  </si>
  <si>
    <t xml:space="preserve"> Réaliser des ajustements et réaffectations pour optimiser l’usage des ressources financières en cours d’exercice. </t>
  </si>
  <si>
    <t xml:space="preserve"> Identifier les budgets sous-utilisés ou en tension </t>
  </si>
  <si>
    <t xml:space="preserve"> Réévaluer les priorités d’investissement </t>
  </si>
  <si>
    <t xml:space="preserve"> Proposer des réallocations budgétaires </t>
  </si>
  <si>
    <t xml:space="preserve"> Mettre à jour les prévisions financières </t>
  </si>
  <si>
    <t xml:space="preserve"> Processus de contribution aux exercices financiers transverse globaux </t>
  </si>
  <si>
    <t xml:space="preserve"> Participer aux processus financiers transverses et globale de l’entreprise (forecasts, clôtures, business plan). </t>
  </si>
  <si>
    <t xml:space="preserve"> Transmettre les données budgétaires consolidées </t>
  </si>
  <si>
    <t xml:space="preserve"> Participer aux comités financiers </t>
  </si>
  <si>
    <t xml:space="preserve"> Intégrer les exigences du contrôle de gestion </t>
  </si>
  <si>
    <t xml:space="preserve"> Réviser les hypothèses économiques partagées </t>
  </si>
  <si>
    <r>
      <rPr>
        <b/>
        <u/>
        <sz val="18"/>
        <color rgb="FFC00000"/>
        <rFont val="Aptos Narrow"/>
        <family val="2"/>
        <scheme val="minor"/>
      </rPr>
      <t>Macro 02</t>
    </r>
    <r>
      <rPr>
        <b/>
        <sz val="18"/>
        <color rgb="FFC00000"/>
        <rFont val="Aptos Narrow"/>
        <family val="2"/>
        <scheme val="minor"/>
      </rPr>
      <t>: Gouvernance Networks &amp; IS</t>
    </r>
  </si>
  <si>
    <t>Le macro-processus de Gouvernance fournit le cadre essentiel au pilotage organisationnel en structurant les documents, les responsabilités et les rôles. Il garantit une base claire et cohérente permettant de maîtriser les risques, assurer la continuité et maintenir la conformité globale de l’organisation.
Ce macro-processus repose sur plusieurs processus complémentaires. La structuration documentaire et la définition des responsabilités établissent un référentiel clair et standardisé, tandis que la gestion des risques organisationnels permet d’identifier, analyser et maîtriser les menaces pouvant impacter la performance. Le processus PCA/PRA renforce cette maîtrise en assurant la continuité des services critiques et la capacité de reprise après incident majeur. Par ailleurs, le suivi des politiques, processus et procédures garantit le contrôle régulier de leur application, alors que l’évaluation périodique mesure leur pertinence et leur efficacité. Enfin, le processus d’amélioration assure l’évolution continue du système documentaire et opérationnel en intégrant les retours d’expérience, les audits et les actions correctives.
Ainsi, le macro-processus Gouvernance consolide la stabilité et la performance de l’organisation en assurant une maîtrise rigoureuse, une résilience opérationnelle et une amélioration continue. Il joue un rôle central dans l’alignement durable des pratiques avec les exigences internes et réglementaires.</t>
  </si>
  <si>
    <t xml:space="preserve"> Processus de structuration des documents,   des responsabilités, et des rôles .</t>
  </si>
  <si>
    <t xml:space="preserve"> Définir, et formaliser les documents , responsabilités, autorités, et roles  de gouvernance dans les opérations et projets  Network &amp; IS ,</t>
  </si>
  <si>
    <t xml:space="preserve"> Identifier les acteurs internes et externes impliqués dans la gouvernance</t>
  </si>
  <si>
    <t xml:space="preserve"> Définir les rôles, responsabilités et niveaux d’autorité (matrice RACI)</t>
  </si>
  <si>
    <t xml:space="preserve"> Élaborer la cartographie documentaire (PPP, instructions, fiches)</t>
  </si>
  <si>
    <t xml:space="preserve"> Structurer et normaliser les formats documentaires</t>
  </si>
  <si>
    <t xml:space="preserve"> Mettre en place un dispositif de gestion documentaire (validation, diffusion, archivage)</t>
  </si>
  <si>
    <t xml:space="preserve"> Actualiser périodiquement selon les évolutions organisationnelles</t>
  </si>
  <si>
    <t xml:space="preserve"> Processus de gestion des risques organisationnels </t>
  </si>
  <si>
    <t xml:space="preserve"> Identifier, évaluer, traiter et surveiller les risques d’ordre organisationnel impactant les projets ou la performance des SI &amp; Réseaux </t>
  </si>
  <si>
    <t xml:space="preserve"> Identifier les risques organisationnels (structure, ressources, conformité, dépendances)</t>
  </si>
  <si>
    <t xml:space="preserve"> Évaluer la probabilité, l’impact et la criticité (grille P×I)</t>
  </si>
  <si>
    <t xml:space="preserve"> Élaborer la matrice des risques et définir les plans d’atténuation</t>
  </si>
  <si>
    <t xml:space="preserve"> Assigner les responsables de suivi et de mise en œuvre</t>
  </si>
  <si>
    <t xml:space="preserve"> Mettre à jour le registre des risques</t>
  </si>
  <si>
    <t xml:space="preserve"> Suivre les indicateurs d’efficacité et rendre compte au comité de gouvernance</t>
  </si>
  <si>
    <t>Processus de gestion de la continuité et de reprise d’activité (PCA/PRA)</t>
  </si>
  <si>
    <t>Encadrer la définition, la mise en œuvre et la mise à jour des plans de continuité (PCA) et de reprise d’activité (PRA) pour les services Network &amp; IS. Aligné sur les standards ISO 22301 et ITIL, il vise à garantir la résilience opérationnelle en cas d’incident majeur, via des procédures de secours formalisées et régulièrement testées.</t>
  </si>
  <si>
    <t>Analyser et formaliser le PCA/PRA</t>
  </si>
  <si>
    <t>Structurer les rôles et les  responsabilités dans le PCA/PRA</t>
  </si>
  <si>
    <t xml:space="preserve">Documenter et communiquer les plans </t>
  </si>
  <si>
    <t>Tests et exercices réguliers</t>
  </si>
  <si>
    <t>Maintien en condition opérationnelle</t>
  </si>
  <si>
    <t>Amélioration continue et retour d’expérience</t>
  </si>
  <si>
    <t xml:space="preserve"> Processus de suivi des Politiques, Processus et Procédures </t>
  </si>
  <si>
    <t>assurer le contrôle régulier de la mise en œuvre effective des politiques, processus et procédures Network &amp; IS. Garantir la conformité opérationnelle et la cohérence entre pratiques terrain et exigences normatives.</t>
  </si>
  <si>
    <t xml:space="preserve"> Élaborer le plan annuel de suivi et d’audit des PPP</t>
  </si>
  <si>
    <t xml:space="preserve"> Collecter les rapports d’application et de conformité</t>
  </si>
  <si>
    <t xml:space="preserve"> Contrôler l’exécution effective sur le terrain (revues, inspections, audits)</t>
  </si>
  <si>
    <t xml:space="preserve"> Identifier les écarts et non-conformités</t>
  </si>
  <si>
    <t xml:space="preserve"> Documenter les constats et définir des actions correctives</t>
  </si>
  <si>
    <t xml:space="preserve"> Communiquer les résultats aux responsables concernés</t>
  </si>
  <si>
    <t xml:space="preserve"> Processus d’évaluation des Politiques, Processus et Procédures </t>
  </si>
  <si>
    <t>Mesurer la pertinence, l’efficacité et la cohérence des PPP au regard des objectifs stratégiques, des exigences réglementaires , les  meilleures pratiques et les seuil defini pour les KPI .Détecter les faiblesses structurelles et d’orienter les décisions d’amélioration.</t>
  </si>
  <si>
    <t xml:space="preserve"> Définir les critères  d’évaluation (pertinence, efficacité, cohérence)</t>
  </si>
  <si>
    <t xml:space="preserve"> Collecter les retours d’expérience et données de performance</t>
  </si>
  <si>
    <t xml:space="preserve"> Analyser les écarts récurrents ou redondances documentaires</t>
  </si>
  <si>
    <t xml:space="preserve"> Mesurer la performance par des indicateurs (KPI, taux de conformité)</t>
  </si>
  <si>
    <t xml:space="preserve"> Rédiger le rapport d’évaluation global</t>
  </si>
  <si>
    <t xml:space="preserve"> Prioriser les axes d’amélioration</t>
  </si>
  <si>
    <t xml:space="preserve"> Processus d’amélioration des Politiques, Processus et Procédures </t>
  </si>
  <si>
    <t xml:space="preserve"> Piloter l’amélioration continue du système de gouvernance Network &amp; IS. Garantir l’alignement permanent des PPP sur les standards ISO, ITIL et les besoins opérationnels, tout en clôturant le cycle PDCA (Plan–Do–Check–Act).</t>
  </si>
  <si>
    <t xml:space="preserve"> Identifier les axes d’amélioration issus des évaluations, audits et REX</t>
  </si>
  <si>
    <t xml:space="preserve"> Réviser ou élaborer les documents (PPP) concernés</t>
  </si>
  <si>
    <t xml:space="preserve"> Valider,  documenter  et diffuser les nouvelles versions</t>
  </si>
  <si>
    <t xml:space="preserve"> Former les utilisateurs aux mises à jour</t>
  </si>
  <si>
    <t xml:space="preserve"> Vérifier l’efficacité post-mise en œuvre</t>
  </si>
  <si>
    <t xml:space="preserve"> Capitaliser les leçons apprises dans la base de connaissance</t>
  </si>
  <si>
    <r>
      <rPr>
        <b/>
        <u/>
        <sz val="18"/>
        <color rgb="FFC00000"/>
        <rFont val="Aptos Narrow"/>
        <family val="2"/>
        <scheme val="minor"/>
      </rPr>
      <t>Macro 09</t>
    </r>
    <r>
      <rPr>
        <b/>
        <sz val="18"/>
        <color rgb="FFC00000"/>
        <rFont val="Aptos Narrow"/>
        <family val="2"/>
        <scheme val="minor"/>
      </rPr>
      <t>: Management des Projets Networks &amp; IS</t>
    </r>
  </si>
  <si>
    <t>Le macro-processus Management des Projets Networks &amp; IS regroupe l’ensemble des pratiques, méthodologies et processus permettant de piloter avec rigueur les projets N&amp;IS. Il couvre tout le cycle de vie du projet, depuis l’initiation jusqu’à la clôture, en intégrant les standards du PMBOK 6&amp;7, adaptés au contexte des projets d’infrastructure, d’évolution réseau, de transformation digitale ou d’intégration SI.
Il repose sur une gestion structurée de l’intégration, du périmètre, du calendrier, des coûts (CAPEX/OPEX), de la qualité, des ressources, des communications, des risques, des approvisionnements et de la gouvernance des parties prenantes. L’objectif est d’assurer que les projets Network &amp; IS sont livrés dans les délais, respectent les exigences techniques, sécuritaires et réglementaires, tout en optimisant les ressources mobilisées.
Chaque projet est formalisé à travers une charte projet validée en comité de gouvernance, un kick-off officiel, une planification intégrée, un pilotage par jalons, un suivi des livrables techniques, une gestion active des risques, et une coordination inter-équipes (ingénierie, déploiement, exploitation, partenaires etc...). Des revues régulières, un reporting structuré et une gestion de la documentation projet garantissent la traçabilité et l’amélioration continue.
Ce macro inclut également les processus de gestion de la connaissance (capitalisation) et de gestion du changement nécessaires à la réussite durable des projets et à la transition fluide vers l’exploitation.</t>
  </si>
  <si>
    <t xml:space="preserve"> Processus d’initiation des projets </t>
  </si>
  <si>
    <t>Définir la justification, les objectifs, et obtenir la validation du lancement.</t>
  </si>
  <si>
    <t xml:space="preserve"> Nommer le chef de projet et définir les responsabilités  </t>
  </si>
  <si>
    <t>DGouv&amp;PMO
DNE
 IT – Product &amp; Project Delivery</t>
  </si>
  <si>
    <t xml:space="preserve"> Rédiger la charte projet (périmètre, objectifs, budget initial, sponsor)  </t>
  </si>
  <si>
    <t>Obtenir la validation formelle du lancement par le comité de pilotage</t>
  </si>
  <si>
    <t xml:space="preserve"> Lancer le Kick‑off </t>
  </si>
  <si>
    <t xml:space="preserve"> Processus de gestion de l’intégration </t>
  </si>
  <si>
    <t>Assurer la cohérence entre les plans techniques, financiers, qualité et risques pour garantir l’alignement stratégique global.</t>
  </si>
  <si>
    <t>Élaborer le plan de management du projet (PMP)</t>
  </si>
  <si>
    <t>DNE
 IT – Product &amp; Project Delivery
DGouv&amp;PMO</t>
  </si>
  <si>
    <t xml:space="preserve">Coordonner les contributions inter-domaines (Radio, Transmission, Core, IT, etc.) &amp; les plans complementaires (scope, coûts, planning, qualité…)  </t>
  </si>
  <si>
    <t>Assurer la cohérence des plans techniques et financiers</t>
  </si>
  <si>
    <t xml:space="preserve">Gérer les interdépendances entre processus </t>
  </si>
  <si>
    <t>Contrôler la cohérence des livrables</t>
  </si>
  <si>
    <t xml:space="preserve"> Processus de gestion du périmètre </t>
  </si>
  <si>
    <t>Définir les livrables, limites et exclusions du projet, et contrôler  l'évolution .</t>
  </si>
  <si>
    <t xml:space="preserve"> Recueillir les exigences métiers et techniques  </t>
  </si>
  <si>
    <t>Définir les critères d’acceptation des livrables</t>
  </si>
  <si>
    <t>Structurer la décomposition du projet en lots de travail (WBS)</t>
  </si>
  <si>
    <t xml:space="preserve"> Obtenir la validation du périmètre  </t>
  </si>
  <si>
    <t>Surveiller les dérives fonctionnelles ou techniques</t>
  </si>
  <si>
    <t>Valider la conformité du périmètre en clôture</t>
  </si>
  <si>
    <t xml:space="preserve"> Processus de gestion du planning </t>
  </si>
  <si>
    <t xml:space="preserve"> Planifier, estimer et piloter les délais de réalisation des differentes etapes du projet </t>
  </si>
  <si>
    <t xml:space="preserve"> Identifier les activités et jalons  </t>
  </si>
  <si>
    <t xml:space="preserve"> Estimer les durées et séquencer les tâches  </t>
  </si>
  <si>
    <t xml:space="preserve"> Établir le calendrier (Gantt, jalons)  </t>
  </si>
  <si>
    <t xml:space="preserve"> Surveiller l’avancement et réviser le planning </t>
  </si>
  <si>
    <t xml:space="preserve"> Processus de gestion des coûts </t>
  </si>
  <si>
    <t xml:space="preserve"> Planifier, budgétiser et contrôler les coûts pour garantir le respect des contraintes financières </t>
  </si>
  <si>
    <t xml:space="preserve"> Établir le budget global et la ligne de base des coûts  </t>
  </si>
  <si>
    <t xml:space="preserve">Suivre les engagements contractuels, la consommation budgétaire  </t>
  </si>
  <si>
    <t>Contrôler les écarts financiers &amp; ajuster les prévisions</t>
  </si>
  <si>
    <t>Élaborer les rapports budgétaires</t>
  </si>
  <si>
    <t xml:space="preserve"> Processus de gestion de la qualité </t>
  </si>
  <si>
    <t xml:space="preserve"> Garantir la conformité des livrables aux exigences de qualité définies et attendues </t>
  </si>
  <si>
    <t>Identifier les standards qualité applicables (techniques, HSE, service…)</t>
  </si>
  <si>
    <t>Élaborer le plan qualité projet</t>
  </si>
  <si>
    <t>Réaliser les audits, tests et revues qualité</t>
  </si>
  <si>
    <t xml:space="preserve">Gérer les non-conformités et améliorer les livrables </t>
  </si>
  <si>
    <t>Valider la conformité des livrables finaux</t>
  </si>
  <si>
    <t xml:space="preserve"> Processus de gestion des ressources </t>
  </si>
  <si>
    <t xml:space="preserve">Mobiliser &amp; optimiser la planification et l’affectation des ressources humaines, matérielles et logistiques. nécessaires au projet </t>
  </si>
  <si>
    <t>Identifier les besoins en ressources (internes/externes)</t>
  </si>
  <si>
    <t>Planifier les charges et affectations</t>
  </si>
  <si>
    <t>Gerer la charge, la performance et la disponibilité</t>
  </si>
  <si>
    <t xml:space="preserve"> Arbitrer et Gérer les conflits </t>
  </si>
  <si>
    <t>Superviser les aspects logistiques et matériels</t>
  </si>
  <si>
    <t xml:space="preserve"> Processus de gestion de la communication</t>
  </si>
  <si>
    <t xml:space="preserve"> Assurer une communication fluide, claire , structurée et traçable tout au long du projet entre toutes les parties prenantes </t>
  </si>
  <si>
    <t>Définir la stratégie de communication projet</t>
  </si>
  <si>
    <t>Diffuser les rapports executifs et technique  du projet</t>
  </si>
  <si>
    <t>Animer les réunions et comités</t>
  </si>
  <si>
    <t>Documenter et assurer la traçabilité des décisions</t>
  </si>
  <si>
    <t xml:space="preserve"> Gérer les flux d’information et les escalades  </t>
  </si>
  <si>
    <t xml:space="preserve"> Archiver et capitaliser les échanges </t>
  </si>
  <si>
    <t xml:space="preserve"> Processus de gestion des risques </t>
  </si>
  <si>
    <t xml:space="preserve"> Anticiper, traiter et surveiller les risques afin de minimiser les impacts négatifs sur le projet. </t>
  </si>
  <si>
    <t xml:space="preserve"> Identifier les menaces et opportunités (techniques, financiers, environnementaux)  </t>
  </si>
  <si>
    <t xml:space="preserve"> Évaluer leur probabilité et impact  </t>
  </si>
  <si>
    <t xml:space="preserve"> Élaborer des plans de réponse (mitigation, transfert, acceptation)  </t>
  </si>
  <si>
    <t xml:space="preserve"> Suivre et mettre à jour le registre des risques </t>
  </si>
  <si>
    <t>Évaluer l’efficacité des mesures</t>
  </si>
  <si>
    <t xml:space="preserve"> Processus de gestion des changements  projet  </t>
  </si>
  <si>
    <t>Encadrer toutes les modifications impactant le périmètre, le coût, le planning ou les ressources du projet, tout en assurant leur traçabilité et leur validation par les instances compétentes.</t>
  </si>
  <si>
    <t xml:space="preserve"> Formaliser la demande de changement</t>
  </si>
  <si>
    <t xml:space="preserve"> Analyser l’impact sur périmètre, budget, planning  </t>
  </si>
  <si>
    <t>Soumettre au comité de contrôle des changements (CCB)</t>
  </si>
  <si>
    <t xml:space="preserve"> Mettre à jour les documents de référence </t>
  </si>
  <si>
    <t>Communiquer les décisions aux acteurs concernés</t>
  </si>
  <si>
    <t xml:space="preserve"> Processus de gestion des approvisionnements </t>
  </si>
  <si>
    <t>Piloter le processus d’acquisition des biens, services et prestations nécessaires à la mise en œuvre du projet, depuis la définition du besoin jusqu’à la réception.</t>
  </si>
  <si>
    <t>Identifier les besoins d’achat (CAPEX/OPEX) et d’externalisation</t>
  </si>
  <si>
    <t>Elaborer les cahiers des charges techniques et appels d’offres</t>
  </si>
  <si>
    <t xml:space="preserve"> Lancer les appels d’offres / commandes  </t>
  </si>
  <si>
    <t>Sélectionner et contractualiser avec les fournisseurs</t>
  </si>
  <si>
    <t xml:space="preserve"> Suivre la livraison, la conformité, la facturation </t>
  </si>
  <si>
    <t>Gérer la clôture contractuelle</t>
  </si>
  <si>
    <t xml:space="preserve"> Processus de gestion des parties prenantes </t>
  </si>
  <si>
    <t>Identifie et mobilise tous les acteurs internes et externes nécessaire  au projet afin de garantir leur engagement, leur coordination et leur satisfaction.</t>
  </si>
  <si>
    <t>Identifier et cartographier les parties prenantes</t>
  </si>
  <si>
    <t>Analyser leurs apports  et leurs attentes</t>
  </si>
  <si>
    <t>Définir la stratégie d’engagement</t>
  </si>
  <si>
    <t>Évaluer et ajuster le niveau de satisfaction de chaque PP</t>
  </si>
  <si>
    <t xml:space="preserve"> Processus de gestion des connaissances </t>
  </si>
  <si>
    <t xml:space="preserve"> Capitaliser les enseignements tirés du projet pour améliorer l’efficacité des futurs projets &amp; la maturité globale du management de projet. </t>
  </si>
  <si>
    <t xml:space="preserve"> Recueillir les leçons apprises et bonnes pratiques  </t>
  </si>
  <si>
    <t xml:space="preserve"> Structurer et archiver les retours d’expérience (REX)  </t>
  </si>
  <si>
    <t xml:space="preserve"> Mettre à jour la base de connaissances projet  </t>
  </si>
  <si>
    <t xml:space="preserve"> Diffuser les apprentissages auprès des équipes et parties prenantes </t>
  </si>
  <si>
    <t>Réinjecter les enseignements dans les projets futurs</t>
  </si>
  <si>
    <r>
      <rPr>
        <b/>
        <u/>
        <sz val="18"/>
        <color rgb="FFC00000"/>
        <rFont val="Aptos Narrow"/>
        <family val="2"/>
        <scheme val="minor"/>
      </rPr>
      <t>Macro 08</t>
    </r>
    <r>
      <rPr>
        <b/>
        <sz val="18"/>
        <color rgb="FFC00000"/>
        <rFont val="Aptos Narrow"/>
        <family val="2"/>
        <scheme val="minor"/>
      </rPr>
      <t>: Performance &amp; Optimisation Networks &amp; IS</t>
    </r>
  </si>
  <si>
    <t>Cette macro couvre l’ensemble des activités visant à surveiller, analyser, maintenir et améliorer en continu la performance des infrastructures techniques et des services associés, dans une logique proactive et d’optimisation. Elle s’applique aux réseaux fixes, mobiles, plateformes IT, et services métiers ou techniques. L’objectif est de garantir un bon niveau de qualité de service (QoS), de disponibilité, et d’efficacité opérationnelle, tout en anticipant les dégradations et en adaptant les ressources aux évolutions des usages.
Elle intègre la collecte continue de métriques (temps de réponse, débit, disponibilité, erreurs), la détection de tendances ou d’anomalies, la gestion de la capacité (capacity management), l’analyse de la performance bout en bout, ainsi que la mise en œuvre de plans d’optimisation ou d’amélioration continue. Cette macro est également responsable de la mise en place de KPIs et dashboards décisionnels, du support aux métiers sur les sujets de qualité perçue, et de la contribution aux projets d’évolution en apportant une vision objective des performances existantes.
Alignée avec les processus Performance Management, Service Quality Management du referentiel eTOM, ainsi qu’avec les bests pratices ITIL de Monitoring &amp; Event Management, elle est essentielle pour piloter la performance technique et garantir l’alignement des capacités N&amp;IS avec les attentes métiers.</t>
  </si>
  <si>
    <t xml:space="preserve"> Process de supervision des  performances</t>
  </si>
  <si>
    <t>Monitorer en permanence les KPIs, corréler les événements et analyser les tendances afin de maintenir un réseau performant et fiable.</t>
  </si>
  <si>
    <t xml:space="preserve"> Mettre en place les outils de supervision de performance (OSS, probes, sondes, etc.)  </t>
  </si>
  <si>
    <t>Direction Performance &amp; Optimisation</t>
  </si>
  <si>
    <t xml:space="preserve">Definir les KPI par domaines   </t>
  </si>
  <si>
    <t>Configurer les seuils d’alerte et de performance</t>
  </si>
  <si>
    <t xml:space="preserve"> Suivre les SLA, taux de disponibilité, taux de plainte  </t>
  </si>
  <si>
    <t xml:space="preserve"> Générer les rapports de performance périodiques</t>
  </si>
  <si>
    <t xml:space="preserve"> Processus de mesure de la performance </t>
  </si>
  <si>
    <t xml:space="preserve"> Collecter des données terrain et systèmes via OSS, drive tests ou outils de sondes afin d’évaluer objectivement la performance du réseau et des services . </t>
  </si>
  <si>
    <t xml:space="preserve"> Planifier les campagnes de mesures (zones, technologies, objectifs)  </t>
  </si>
  <si>
    <t xml:space="preserve">Direction Performance &amp; Optimisation
</t>
  </si>
  <si>
    <t xml:space="preserve"> Configurer les outils de collecte (OSS KPIs, sondes, mobiles de test, scanners RF)  </t>
  </si>
  <si>
    <t xml:space="preserve"> Réaliser les campagnes de drive tests ou extraire les données OSS  </t>
  </si>
  <si>
    <t xml:space="preserve"> Consolider et nettoyer les données collectées</t>
  </si>
  <si>
    <t xml:space="preserve"> Process d’analyse de performance</t>
  </si>
  <si>
    <t xml:space="preserve"> Analyser les données collectées pour détecter proactivement les dégradations de la QoS, ou variations anormales et autres dysfonctionnements </t>
  </si>
  <si>
    <t xml:space="preserve"> Extraire et analyser les KPIs (trafic, disponibilité, taux d'erreur, etc.)  </t>
  </si>
  <si>
    <t>Établir des dashboards analytiques par domaine (radio, transmission, core, IT etc...)</t>
  </si>
  <si>
    <t>Corréler les événements avec les alarmes, incidents et changements</t>
  </si>
  <si>
    <t xml:space="preserve"> Analyser les écarts par rapport aux seuils cibles  </t>
  </si>
  <si>
    <t xml:space="preserve"> Classifier les degradations  par criticité </t>
  </si>
  <si>
    <t xml:space="preserve"> Processus d’evaluation de la QOE</t>
  </si>
  <si>
    <t xml:space="preserve"> Évaluer l’expérience utilisateur et la qualité des services fournis à travers des mesures techniques et subjectives. </t>
  </si>
  <si>
    <t xml:space="preserve"> Definir et Analyser les indicateurs QoE par service et par domaine (voix, data, IT apps) </t>
  </si>
  <si>
    <t xml:space="preserve"> Identifier les anomalies ou dégradations par segment de réseau </t>
  </si>
  <si>
    <t xml:space="preserve"> Corréler les résultats avec les tickets ou plaintes clients </t>
  </si>
  <si>
    <t>Identifier les dégradations ressenties non détectées</t>
  </si>
  <si>
    <t xml:space="preserve"> Processus d’optimisation de la configuration </t>
  </si>
  <si>
    <t>Identifier et mettre en œuvre des actions d’optimisation technique sur les éléments du réseau, IT et services.</t>
  </si>
  <si>
    <t xml:space="preserve"> Auditer les configurations existantes (radio, core, IP, IT etc...) </t>
  </si>
  <si>
    <t xml:space="preserve"> Comparer avec les best practices et les recommandations constructeur </t>
  </si>
  <si>
    <t xml:space="preserve"> Appliquer les modifications correctives ou préventives </t>
  </si>
  <si>
    <t xml:space="preserve"> Suivre les impacts post-modification </t>
  </si>
  <si>
    <t xml:space="preserve"> Processus de capacity planning </t>
  </si>
  <si>
    <t xml:space="preserve"> Planifier l’évolution des ressources techniques pour anticiper les hausses de charge et éviter la saturation.</t>
  </si>
  <si>
    <t xml:space="preserve"> Projeter les évolutions de trafic et de charge applicative </t>
  </si>
  <si>
    <t xml:space="preserve"> Élaborer des modèles de prévision et de dimensionnement </t>
  </si>
  <si>
    <t xml:space="preserve"> Déterminer les investissements nécessaires </t>
  </si>
  <si>
    <t xml:space="preserve"> Intégrer ces besoins dans les roadmaps et plans de déploiement </t>
  </si>
  <si>
    <t>Ce macro-processus regroupe toutes les activités nécessaires pour assurer la sécurité, la protection, la prévention et la résilience des infrastructures Networks (mobile, fixe, transmission) et IS (serveurs, plateformes, services). Elle vise à anticiper, détecter, répondre et capitaliser  sur les incidents et/ou attaques, tout en maintenant la continuité des services techniques et métier. Elle inclut la définition des politiques de sécurité, la gestion des risques, la surveillance des menaces, la réponse aux incidents de sécurité, la gestion des vulnérabilités, le chiffrement, l’authentification, la sécurité des accès, la résilience (plans de reprise, redondance) et le reporting. Elle s’appuie sur les domaines Security &amp; Assurance d’eTOM, les pratiques ITIL Security Management, Information Security, Risk Management, ainsi que les cadres normatifs tels que ISO 27001, UIT, RGPD. L’objectif est de garantir que les infrastructures et services soient protégés, résilients, et conformes, tout en minimisant l’impact sur les opérations.</t>
  </si>
  <si>
    <t xml:space="preserve"> Processus de définition des politiques de sécurité </t>
  </si>
  <si>
    <t xml:space="preserve"> Définir, maintenir et diffuser les politiques, standards et orientations de sécurité pour le parc N&amp;IS. </t>
  </si>
  <si>
    <t xml:space="preserve"> Élaborer les politiques en conformité avec ISO 27001 et exigences réglementaires </t>
  </si>
  <si>
    <t>Cyber-Security</t>
  </si>
  <si>
    <t xml:space="preserve"> Valider les politiques avec la gouvernance N&amp;IS </t>
  </si>
  <si>
    <t xml:space="preserve"> Diffuser et sensibiliser les équipes à ces politiques </t>
  </si>
  <si>
    <t xml:space="preserve"> Mettre à jour périodiquement les politiques selon retours et audits </t>
  </si>
  <si>
    <t xml:space="preserve"> Processus de gestion des risques &amp; évaluations de la sécurité </t>
  </si>
  <si>
    <t xml:space="preserve"> Identifier, évaluer et prioriser les risques de sécurité pesant sur les infrastructures et services. </t>
  </si>
  <si>
    <t xml:space="preserve"> Réaliser des analyses de risques (impact/probabilité) </t>
  </si>
  <si>
    <t xml:space="preserve"> Cartographier les scénarios de menace critiques </t>
  </si>
  <si>
    <t xml:space="preserve"> Définir les mesures de réduction de risque et contrôles </t>
  </si>
  <si>
    <t xml:space="preserve"> Suivre la mise en œuvre des recommandations  et leur efficacité </t>
  </si>
  <si>
    <t xml:space="preserve">Gestion des identités et des accès (IAM)
</t>
  </si>
  <si>
    <t xml:space="preserve">Ce processus s'assure que seules les personnes autorisées ont accès aux systèmes et aux données sensibles.
</t>
  </si>
  <si>
    <t>Gerer les identités : Créer, gerer et supprimer les comptes utilisateurs</t>
  </si>
  <si>
    <t>Gerer les accès : Attribuer les droits d'accès basés sur les rôles des utilisateurs (RBAC – Role-Based Access Control).</t>
  </si>
  <si>
    <t>Authentifier et autoriser : Mettre en place un mécanismes d'authentification solides (multi-facteurs, biométrie, etc.) et gerer les autorisations d'accès.</t>
  </si>
  <si>
    <t>Surveiller les accès : Suivre et analyser des activités d'accès pour détecter toute tentative d'accès non autorisé ou abusif.</t>
  </si>
  <si>
    <t>Révoquer les accès : Gerer les comptes inactifs ou obsolètes, et révoquer les accès des utilisateurs lorsqu'ils ne sont plus autorisés.</t>
  </si>
  <si>
    <t xml:space="preserve">Processus Protection des données
</t>
  </si>
  <si>
    <t>Assurer la mise en place de mesures de protection pour garantir la confidentialité, l'intégrité et la disponibilité des données</t>
  </si>
  <si>
    <t>Chiffrement des données : Mise en place de mécanismes pour chiffrer les données sensibles, tant en transit qu'au repos.</t>
  </si>
  <si>
    <t>Contrôle de la confidentialité des données : Application de politiques de confidentialité des données, telles que la classification des données et la gestion des données personnelles.</t>
  </si>
  <si>
    <t>Protection contre la perte de données (DLP) : Mise en œuvre de solutions pour prévenir la fuite ou la perte de données sensibles (ex. dispositifs de contrôle des fuites de données).</t>
  </si>
  <si>
    <t>Sauvegardes et récupération : Assurer la mise en place de sauvegardes régulières et de plans de récupération des données en cas de sinistre.</t>
  </si>
  <si>
    <t>Processus de Sécurisation des infrastructures et des applications</t>
  </si>
  <si>
    <t xml:space="preserve">Mettre en place des mecanisnismes de protections adaptés pour securser les infrastructures et les applications . </t>
  </si>
  <si>
    <t xml:space="preserve">Sécuriser les endpoints : Protection des dispositifs utilisateurs (ordinateurs de bureau, portables, téléphones mobiles, etc.) via des solutions antivirus, EDR, etc. 
</t>
  </si>
  <si>
    <t>Sécuriser le réseau : Mise en place de pare-feu, systèmes de détection et de prévention des intrusions (IDS/IPS), segmentation du réseau, etc.</t>
  </si>
  <si>
    <t xml:space="preserve">Sécuriser les applications : Assurer la sécurité des applications via des tests de sécurité (ex. tests de pénétration, analyse de vulnérabilités) et la mise en œuvre de pratiques de codage sécurisé. 
</t>
  </si>
  <si>
    <t>Contrôler les périphériques externes : Gestion des risques liés aux périphériques externes (USB, périphériques réseau, etc.), avec des politiques d'accès et des outils de contrôle des périphériques</t>
  </si>
  <si>
    <t xml:space="preserve">Gestion des vulnérabilités et des patchs
</t>
  </si>
  <si>
    <t xml:space="preserve"> Identifier, qualifier et traiter les vulnérabilités sur les infrastructures, les systèmes et les  applications. </t>
  </si>
  <si>
    <t xml:space="preserve"> Réaliser des scans de vulnérabilité réguliers </t>
  </si>
  <si>
    <t xml:space="preserve"> Prioriser les vulnérabilités en fonction de leur criticité </t>
  </si>
  <si>
    <t xml:space="preserve"> Déployer les correctifs ou mesures compensatoires </t>
  </si>
  <si>
    <t>Suivi des vulnérabilités : Assurer le suivi des vulnérabilités sur le long terme et leur résolution dans les délais appropriés.</t>
  </si>
  <si>
    <t xml:space="preserve"> Processus de surveillance et détection d’intrusions </t>
  </si>
  <si>
    <t xml:space="preserve"> Surveiller les infrastructures pour détecter les attaques, intrusions ou comportements anormaux. </t>
  </si>
  <si>
    <t xml:space="preserve"> Mettre en place des outils IDS/IPS, SIEM </t>
  </si>
  <si>
    <t xml:space="preserve"> Collecter et corréler les logs de sécurité </t>
  </si>
  <si>
    <t xml:space="preserve"> Détecter les incidents potentiels et anomalies </t>
  </si>
  <si>
    <t xml:space="preserve"> Escalader et déclencher les réponses selon niveau de menace </t>
  </si>
  <si>
    <t xml:space="preserve"> Processus de réponse aux incidents de sécurité </t>
  </si>
  <si>
    <t xml:space="preserve"> Traiter les incidents de sécurité (détection, confinement, résolution, restauration) afin de limiter l’impact. </t>
  </si>
  <si>
    <t xml:space="preserve"> Activer le plan de réponse à incident (IRP) </t>
  </si>
  <si>
    <t xml:space="preserve"> Contenir l’attaque ou la faille </t>
  </si>
  <si>
    <t xml:space="preserve"> Identifier l’origine et l’étendue de la menace </t>
  </si>
  <si>
    <t xml:space="preserve"> Restaurer les services affectés </t>
  </si>
  <si>
    <t xml:space="preserve"> Documenter l’incident et proposer des leçons après le RCA </t>
  </si>
  <si>
    <t xml:space="preserve"> Processus de résilience et reprise après sinistre </t>
  </si>
  <si>
    <t xml:space="preserve"> Mettre en place les mesures de continuité, redondance et plans de reprise pour garantir la résilience des services. </t>
  </si>
  <si>
    <t xml:space="preserve"> Définir les plans de reprise (DRP) et continuité (BCP) </t>
  </si>
  <si>
    <t xml:space="preserve"> Tester périodiquement les plans (exercices, simulations) </t>
  </si>
  <si>
    <t xml:space="preserve"> Mettre en place la redondance (sites, liaisons) </t>
  </si>
  <si>
    <t xml:space="preserve"> Tester périodiquement les redondances </t>
  </si>
  <si>
    <t xml:space="preserve"> Assurer le basculement et rétablissement des services </t>
  </si>
  <si>
    <t xml:space="preserve"> Processus de reporting sur la sécurité </t>
  </si>
  <si>
    <t xml:space="preserve"> Suivre les indicateurs de sécurité, produire les rapports et vérifier la conformité aux normes. </t>
  </si>
  <si>
    <t xml:space="preserve"> Définir les KPI de sécurité (nombre d’incidents, temps de réponse, gravité etc...) </t>
  </si>
  <si>
    <t xml:space="preserve"> Collecter les métriques et incidents sécurité </t>
  </si>
  <si>
    <t xml:space="preserve"> Produire les rapports périodiques à la gouvernance N&amp;IS</t>
  </si>
  <si>
    <t xml:space="preserve"> Réaliser les audits internes et externes de conformité </t>
  </si>
  <si>
    <r>
      <rPr>
        <b/>
        <u/>
        <sz val="18"/>
        <color rgb="FFC00000"/>
        <rFont val="Aptos Narrow"/>
        <family val="2"/>
        <scheme val="minor"/>
      </rPr>
      <t>Macro 01</t>
    </r>
    <r>
      <rPr>
        <b/>
        <sz val="18"/>
        <color rgb="FFC00000"/>
        <rFont val="Aptos Narrow"/>
        <family val="2"/>
        <scheme val="minor"/>
      </rPr>
      <t>: Stratégie &amp; Évolution des Infrastructures et Services</t>
    </r>
  </si>
  <si>
    <t xml:space="preserve">Cette macro couvre le pilotage globale du cycle de vie des ressources (IT, réseau, plateformes) et des services (voix, data, BSS/OSS), depuis leur conception jusqu’à leur retrait. 
Elle vise à garantir une cohérence d’ensemble des choix techniques et à structurer l’évolution des capacités et des fonctions techniques en anticipant les ruptures technologiques. Elle comprend : 
- L’analyse prospective et continue des besoins métiers et des usages 
- L’évaluation des tendances technologiques (cloud, 5G, edge, automatisation, IA, etc.) 
- La définition et la révision régulière des architectures cibles et des capacités de services 
- L’élaboration de feuilles de route structurées et arbitrées techniquement et budgétairement 
- La formalisation des principes directeurs (standards, normes, orientations techniques) 
- La coordination des trajectoires d’évolution des services et infrastructures (ressources physiques et logiques) 
- L’intégration de la résilience, de la scalabilité et de la maintenabilité dès la conception stratégique 
- L’articulation avec la gestion des risques, des investissements et des capacités </t>
  </si>
  <si>
    <t xml:space="preserve"> Processus d’évaluation de l’existant          </t>
  </si>
  <si>
    <t xml:space="preserve"> Évaluer l’état actuel des infrastructures, des services et de leurs performances pour établir une base de référence. </t>
  </si>
  <si>
    <t xml:space="preserve"> Cartographier les infrastructures techniques et fonctionnelles existant </t>
  </si>
  <si>
    <t xml:space="preserve">
Direction Network Engineering
DSI
</t>
  </si>
  <si>
    <t xml:space="preserve"> Analyser la performance et l’obsolescence des composants </t>
  </si>
  <si>
    <t xml:space="preserve"> Identifier les interdépendances critiques </t>
  </si>
  <si>
    <t xml:space="preserve"> Évaluer les capacités et les goulots d’étranglement </t>
  </si>
  <si>
    <t xml:space="preserve"> Processus de veille technologique et stratégique </t>
  </si>
  <si>
    <t xml:space="preserve"> Anticiper les innovations, ruptures ou menaces technologiques impactant les orientations stratégiques. </t>
  </si>
  <si>
    <t xml:space="preserve"> Effectuer une veille ciblée sur les tendances techniques </t>
  </si>
  <si>
    <t>CTIO
Direction Network Engineering
DSI</t>
  </si>
  <si>
    <t xml:space="preserve"> Analyser les signaux faibles et les ruptures potentielles </t>
  </si>
  <si>
    <t xml:space="preserve"> Évaluer les impacts des innovations sur l’existant </t>
  </si>
  <si>
    <t xml:space="preserve"> Diffuser les résultats de la veille auprès des décideurs </t>
  </si>
  <si>
    <t xml:space="preserve"> Processus d'elaboration des plans Directeur </t>
  </si>
  <si>
    <t xml:space="preserve">Construire les feuilles de route d'evolution à moyen et long terme pour planifier les transformation technologiques  </t>
  </si>
  <si>
    <t xml:space="preserve">Consolider  les besoins par domaine </t>
  </si>
  <si>
    <t xml:space="preserve">
Direction Network Engineering
DSI
</t>
  </si>
  <si>
    <t xml:space="preserve">Definir les priorités d'investissemnt par lot ou par phase </t>
  </si>
  <si>
    <t xml:space="preserve">Elaborer le plan directeur technique par infrastructure </t>
  </si>
  <si>
    <t>Formaliser le plan Directeur et le soumettre aux instences de gouvernance ,</t>
  </si>
  <si>
    <t xml:space="preserve"> Processus de gestion du cycle de vie des infrastructures </t>
  </si>
  <si>
    <t xml:space="preserve"> Définir et encadrer la création, l’évolution et le retrait des infrastructures tout au long de leur cycle de vie. </t>
  </si>
  <si>
    <t xml:space="preserve"> Définir les étapes du cycle de vie d’un service </t>
  </si>
  <si>
    <t xml:space="preserve">Direction Network Engineering
DSI
</t>
  </si>
  <si>
    <t xml:space="preserve"> Identifier les critères d’entrée/sortie de chaque phase </t>
  </si>
  <si>
    <t xml:space="preserve"> Planifier les remplacement , migration ou refontes </t>
  </si>
  <si>
    <t xml:space="preserve"> Superviser la cohérence avec les besoins utilisateurs </t>
  </si>
  <si>
    <t xml:space="preserve"> Processus de pilotage de la revue stratégique </t>
  </si>
  <si>
    <t xml:space="preserve"> Réviser régulièrement les choix stratégiques en fonction de l’évolution des contextes internes et externes. </t>
  </si>
  <si>
    <t xml:space="preserve"> Organiser les revues périodiques de stratégie technique </t>
  </si>
  <si>
    <t>Direction Network Engineering
DSI</t>
  </si>
  <si>
    <t xml:space="preserve"> Mesurer les écarts entre planification et réalisation </t>
  </si>
  <si>
    <t xml:space="preserve"> Actualiser les objectifs et les feuilles de route </t>
  </si>
  <si>
    <t xml:space="preserve"> Coordonner les arbitrages inter-domaines </t>
  </si>
  <si>
    <r>
      <rPr>
        <b/>
        <u/>
        <sz val="18"/>
        <color rgb="FFC00000"/>
        <rFont val="Aptos Narrow"/>
        <family val="2"/>
        <scheme val="minor"/>
      </rPr>
      <t>Macro 11</t>
    </r>
    <r>
      <rPr>
        <b/>
        <sz val="18"/>
        <color rgb="FFC00000"/>
        <rFont val="Aptos Narrow"/>
        <family val="2"/>
        <scheme val="minor"/>
      </rPr>
      <t>: Support &amp; Assistance IT Network &amp; IS</t>
    </r>
  </si>
  <si>
    <t xml:space="preserve"> Le macro-processus Support &amp; Assistance IT Network &amp; IS vise à garantir la continuité et la qualité des services IT et réseaux fournis aux utilisateurs internes (métiers, techniques, support) en assurant une prise en charge structurée, réactive et conforme aux exigences ITIL des incidents, demandes de service et sollicitations diverses. Il s’appuie sur une organisation en plusieurs niveaux de support (N1/N2/N3) et repose sur des engagements mesurables via des SLA.
Ce macro Process intègre  la réception, l'enregistrement et la qualification des sollicitations, . L’objectif est de centraliser toutes les entrées via un outil ITSM, en garantissant leur traçabilité, classification et priorisation selon l’impact sur les activités critiques. Enfin, la mesure continue de la performance du support via des indicateurs clés permet de suivre le respect des SLA, d’identifier les goulots d’étranglement, de qualifier la satisfaction du personel et de mettre en œuvre des actions d’amélioration continues.
Il est structurant pour l’expérience utilisateur interne, l’efficience opérationnelle et la maîtrise des engagements de service . 
Il vise à répondre efficacement à des besoins standards exemple: création de comptes, installation de logiciels, demandes d’accès, etc...
Un autre axe fondamental est la gestion de la connaissance, qui structure la capitalisation des solutions et guides de résolution, favorisant ainsi l’autonomie des agents de support et la réduction du temps de traitement.
Le processus intègre aussi la communication proactive avec les utilisateurs sur l’état des tickets internes , les délais estimés et  les retours de satisfaction, afin de renforcer la transparence et la qualité perçue.</t>
  </si>
  <si>
    <t xml:space="preserve">Processus de demande de service </t>
  </si>
  <si>
    <t>Formaliser l’initiation d’un besoin par l’utilisateur à travers un canal défini (portail, mail, téléphone) afin de solliciter un service ou une assistance IT/Network.</t>
  </si>
  <si>
    <t>Identifier le besoin ou dysfonctionnement observé (matériel, accès, application, réseau…)</t>
  </si>
  <si>
    <t>IT 
Support &amp; Service 
Desk</t>
  </si>
  <si>
    <t>Accéder à la plateforme ou au canal de demande (portail, mail, téléphone, agent local)</t>
  </si>
  <si>
    <t>Renseigner ou fournir les champs requis (nom, service, urgence, description claire)</t>
  </si>
  <si>
    <t>Soumettre la demande et recevoir un accusé ou numéro de suivi</t>
  </si>
  <si>
    <t xml:space="preserve"> Processus de réception et qualification des demandes</t>
  </si>
  <si>
    <t xml:space="preserve"> Enregistrer, classifier et prioriser les incidents et demandes selon leur impact et leur urgence </t>
  </si>
  <si>
    <t xml:space="preserve"> Réceptionner les demandes via portail, mail, téléphone ou supervision  </t>
  </si>
  <si>
    <t xml:space="preserve"> Identifier si c’est un incident ou une demande  </t>
  </si>
  <si>
    <t xml:space="preserve"> Attribuer une priorité basée sur l’impact et l’urgence  </t>
  </si>
  <si>
    <t xml:space="preserve"> Enregistrer dans l’outil ITSM selon les détails requis </t>
  </si>
  <si>
    <t xml:space="preserve"> Processus de traitement des incidents (support N1/N2/N3) </t>
  </si>
  <si>
    <t xml:space="preserve"> Résoudre dans les délais  les interruptions de service ( Serveurs, LAN, Wi-Fi )</t>
  </si>
  <si>
    <t xml:space="preserve"> Diagnostiquer le problème avec les outils disponibles</t>
  </si>
  <si>
    <t xml:space="preserve"> Escalader si hors périmètre du niveau 1 ou 2  </t>
  </si>
  <si>
    <t xml:space="preserve"> Appliquer la solution immédiate ou contournement  </t>
  </si>
  <si>
    <t xml:space="preserve"> Clôturer l’incident après validation avec l’utilisateur </t>
  </si>
  <si>
    <t xml:space="preserve"> Processus de traitement des demandes de service </t>
  </si>
  <si>
    <t xml:space="preserve"> Gérer les requêtes utilisateurs standards (accès, logiciels, matériels, etc.) </t>
  </si>
  <si>
    <t xml:space="preserve"> Valider la demande et les autorisations associées  </t>
  </si>
  <si>
    <t xml:space="preserve"> Affecter la demande au bon groupe de support  </t>
  </si>
  <si>
    <t xml:space="preserve"> Suivre la réalisation et informer l’utilisateur  </t>
  </si>
  <si>
    <t xml:space="preserve"> Clôturer et documenter le service rendu </t>
  </si>
  <si>
    <t xml:space="preserve"> Processus de communication utilisateur </t>
  </si>
  <si>
    <t xml:space="preserve"> Assurer une information claire, proactive et réactive aux utilisateurs </t>
  </si>
  <si>
    <t xml:space="preserve"> Informer sur les délais estimés de traitement</t>
  </si>
  <si>
    <t>I
Support &amp; Service 
Desk</t>
  </si>
  <si>
    <t xml:space="preserve"> Envoyer des notifications en cas de changement d’état  </t>
  </si>
  <si>
    <t xml:space="preserve"> Gérer les attentes et retours utilisateurs  </t>
  </si>
  <si>
    <t xml:space="preserve"> Recueillir la satisfaction utilisateur </t>
  </si>
  <si>
    <t xml:space="preserve"> Processus de gestion de la connaissance </t>
  </si>
  <si>
    <t xml:space="preserve"> Capitaliser les résolutions et bonnes pratiques pour améliorer l'efficacité </t>
  </si>
  <si>
    <t xml:space="preserve"> Documenter les solutions et procédures validées  </t>
  </si>
  <si>
    <t xml:space="preserve"> Structurer la base de connaissances (FAQ, guides, etc.)  </t>
  </si>
  <si>
    <t xml:space="preserve"> Mettre à jour après chaque incident majeur ou évolution  </t>
  </si>
  <si>
    <t xml:space="preserve"> Promouvoir la réutilisation par les agents support </t>
  </si>
  <si>
    <r>
      <rPr>
        <b/>
        <u/>
        <sz val="18"/>
        <color rgb="FFC00000"/>
        <rFont val="Aptos Narrow"/>
        <family val="2"/>
        <scheme val="minor"/>
      </rPr>
      <t>Macro 03</t>
    </r>
    <r>
      <rPr>
        <b/>
        <sz val="18"/>
        <color rgb="FFC00000"/>
        <rFont val="Aptos Narrow"/>
        <family val="2"/>
        <scheme val="minor"/>
      </rPr>
      <t>: Support Opérationnel aux Activités Networks &amp; IS</t>
    </r>
  </si>
  <si>
    <t>Ce macro-processus regroupe les fonctions de soutien essentielles au bon déroulement des opérations N&amp;IS. Il vise à garantir la continuité d’activité et à maintenir un bon niveau de réactivité des équipes terrain et d’exploitation. Il couvre la mise à disposition des moyens logistiques (outils, véhicules, équipements), le support administratif et financier lié aux interventions, la gestion et l’escalade des demandes d’assistance vers les supports et experts métiers, ainsi que l’organisation et l’optimisation des ressources humaines (planification, astreintes, remplacements). Il inclut également la gestion documentaire et le maintien à jour des référentiels opérationnels.
Aligné sur les pratiques ITIL (Service Operation) et les référentiels eTOM (Service Support) ce macro process par son action transversale,  assure  coordination et efficacité dans l’exécution quotidienne des missions.</t>
  </si>
  <si>
    <t xml:space="preserve">Elaborer les listes de dotation standart par profil metier </t>
  </si>
  <si>
    <t xml:space="preserve">Direction Technical business support
</t>
  </si>
  <si>
    <t xml:space="preserve">Direction Technical business support
</t>
  </si>
  <si>
    <t>Toutes les directions</t>
  </si>
  <si>
    <t>Identifier et formaliser les activités nécessitant un support</t>
  </si>
  <si>
    <t>Qualifier et catégoriser la demande selon sa nature, urgence et domaine de compétence.</t>
  </si>
  <si>
    <t>Suivre le traitement et assurer un retour selon les SLA .</t>
  </si>
  <si>
    <t>Processus de validations des budgets</t>
  </si>
  <si>
    <t>Elaborer les budgets et leurs synthèses conformement aux canevas pré-définis</t>
  </si>
  <si>
    <t xml:space="preserve">Faire la navette budgétaire / présentation et recommentdations </t>
  </si>
  <si>
    <t>Mettre à jour du budget en prenant en compte les recommendations</t>
  </si>
  <si>
    <t>Soumettre à la valitation finale</t>
  </si>
  <si>
    <t>Préparer les synthèses du projet de budget et les commentaires</t>
  </si>
  <si>
    <t>CISO</t>
  </si>
  <si>
    <t>Processus de gestion des dotations technique aux equipes N&amp;IS</t>
  </si>
  <si>
    <t xml:space="preserve">Gerer la mise à disposition , le suivi et le renouvellement des Kits techniques (outils,EPI, logiciels et équipements nécessaires) à la réalisation des opérations réseau et IT. </t>
  </si>
  <si>
    <t>Processus d’appui logistique aux activités opérationnelles</t>
  </si>
  <si>
    <t>Assurer la mobilisation, la coordination et la disponibilité des moyens logistiques (transport, hébergement, approvisionnement etc...) en appui aux opérations techniques .</t>
  </si>
  <si>
    <t xml:space="preserve">Processus de coordination des RH N&amp;IS  </t>
  </si>
  <si>
    <t xml:space="preserve">Assurer la disponibilité et l’affectation efficace des ressources humaines opérationnelles nécessaires au bon déroulement des activités. </t>
  </si>
  <si>
    <t xml:space="preserve">Processus de demande de support </t>
  </si>
  <si>
    <t>Encadrer l’expression, la formalisation et le traitement des besoins de support spécifiques sollicités par les équipes N&amp;IS, que ce soit pour des expertises ponctuelles, un appui technique, ou une assistance méthodologique dans l'exécution de leurs missions,</t>
  </si>
  <si>
    <t>Assurer la disponnibilité des equipements technique et EPI</t>
  </si>
  <si>
    <t xml:space="preserve">Doter les equipes selon les besoins exprimés </t>
  </si>
  <si>
    <t xml:space="preserve">Mettre en place un suivi de traçabilité et de retour de matériels </t>
  </si>
  <si>
    <t>Planifier les renouvellements et calibrer les besoins saisoniers</t>
  </si>
  <si>
    <t xml:space="preserve">Identifier les besoins logistiques liés à chaque metier et opération (Maintenance, déploiement, travaux planifiés )  </t>
  </si>
  <si>
    <t xml:space="preserve">Planifier les approvisionnements (Materiels , Transport et Outillage) </t>
  </si>
  <si>
    <t xml:space="preserve">Gérer les flux des matériels et outils mis à disposition </t>
  </si>
  <si>
    <t xml:space="preserve">Assurer la mise à dispotion des outils, des véhicules et Kits pour les interventions ponctuelles  </t>
  </si>
  <si>
    <t xml:space="preserve">Recenser les besoins humains selon la charge </t>
  </si>
  <si>
    <t>Élaborer les planings de permanence et astreintes</t>
  </si>
  <si>
    <t xml:space="preserve">Gérer les remplacements urgents </t>
  </si>
  <si>
    <t>Coordonner les interventions multi-domaines</t>
  </si>
  <si>
    <t xml:space="preserve">Escalader la demande de support/ expert métier dans le respect des SLA </t>
  </si>
  <si>
    <t xml:space="preserve">Communiquer avec les entités concernées </t>
  </si>
  <si>
    <t xml:space="preserve">
Direction PMO &amp; Gouvernance
</t>
  </si>
  <si>
    <t xml:space="preserve">Direction Performance &amp; Optimisation 
Direction Network Engineering </t>
  </si>
  <si>
    <t xml:space="preserve">
Direction PMO &amp; Gouvernance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</si>
</sst>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8"/>
      <color rgb="FFC00000"/>
      <name val="Aptos Narrow"/>
      <family val="2"/>
      <scheme val="minor"/>
    </font>
    <font>
      <b/>
      <u/>
      <sz val="18"/>
      <color rgb="FFC00000"/>
      <name val="Aptos Narrow"/>
      <family val="2"/>
      <scheme val="minor"/>
    </font>
    <font>
      <b/>
      <sz val="16"/>
      <color theme="0"/>
      <name val="Aptos Narrow"/>
      <family val="2"/>
      <scheme val="minor"/>
    </font>
    <font>
      <sz val="11"/>
      <name val="Aptos Narrow"/>
      <family val="2"/>
      <scheme val="minor"/>
    </font>
    <font>
      <sz val="11"/>
      <color theme="1" tint="0.14999847407452621"/>
      <name val="Aptos Narrow"/>
      <family val="2"/>
      <scheme val="minor"/>
    </font>
    <font>
      <sz val="12"/>
      <color theme="1"/>
      <name val="Aptos Narrow"/>
      <family val="2"/>
      <scheme val="minor"/>
    </font>
    <font>
      <sz val="12"/>
      <name val="Aptos Narrow"/>
      <family val="2"/>
      <scheme val="minor"/>
    </font>
    <font>
      <sz val="14"/>
      <name val="Aptos Narrow"/>
      <family val="2"/>
      <scheme val="minor"/>
    </font>
    <font>
      <sz val="14"/>
      <color theme="1"/>
      <name val="Aptos Narrow"/>
      <family val="2"/>
      <scheme val="minor"/>
    </font>
    <font>
      <b/>
      <sz val="14"/>
      <color theme="0"/>
      <name val="Abadi ExtraLight"/>
      <family val="2"/>
    </font>
    <font>
      <b/>
      <sz val="16"/>
      <color theme="0"/>
      <name val="Abadi ExtraLight"/>
      <family val="2"/>
    </font>
    <font>
      <sz val="11"/>
      <color theme="1"/>
      <name val="Abadi ExtraLight"/>
      <family val="2"/>
    </font>
    <font>
      <b/>
      <sz val="14"/>
      <color rgb="FFC00000"/>
      <name val="Abadi ExtraLight"/>
      <family val="2"/>
    </font>
  </fonts>
  <fills count="7">
    <fill>
      <patternFill patternType="none"/>
    </fill>
    <fill>
      <patternFill patternType="gray125"/>
    </fill>
    <fill>
      <patternFill patternType="solid">
        <fgColor theme="2" tint="-0.749992370372631"/>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89">
    <xf numFmtId="0" fontId="0" fillId="0" borderId="0" xfId="0"/>
    <xf numFmtId="0" fontId="0" fillId="0" borderId="0" xfId="0" applyAlignment="1">
      <alignment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0" fillId="0" borderId="0" xfId="0" applyAlignment="1">
      <alignment vertical="center" wrapText="1"/>
    </xf>
    <xf numFmtId="0" fontId="0" fillId="3" borderId="0" xfId="0" applyFill="1" applyAlignment="1">
      <alignment wrapText="1"/>
    </xf>
    <xf numFmtId="0" fontId="4" fillId="0" borderId="0" xfId="0" applyFont="1" applyAlignment="1">
      <alignment vertical="top" wrapText="1"/>
    </xf>
    <xf numFmtId="0" fontId="4" fillId="3" borderId="0" xfId="0" applyFont="1" applyFill="1" applyAlignment="1">
      <alignment vertical="center" wrapText="1"/>
    </xf>
    <xf numFmtId="0" fontId="4" fillId="3"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0" fillId="0" borderId="0" xfId="0" applyAlignment="1">
      <alignment horizontal="centerContinuous"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0" fillId="0" borderId="2" xfId="0" applyBorder="1"/>
    <xf numFmtId="0" fontId="3" fillId="2" borderId="0" xfId="0" applyFont="1" applyFill="1" applyAlignment="1">
      <alignment horizontal="left" vertical="center" wrapText="1"/>
    </xf>
    <xf numFmtId="0" fontId="0" fillId="0" borderId="5" xfId="0" applyBorder="1" applyAlignment="1">
      <alignment wrapText="1"/>
    </xf>
    <xf numFmtId="0" fontId="0" fillId="0" borderId="4" xfId="0" applyBorder="1" applyAlignment="1">
      <alignment wrapText="1"/>
    </xf>
    <xf numFmtId="0" fontId="0" fillId="0" borderId="3" xfId="0" applyBorder="1" applyAlignment="1">
      <alignment wrapText="1"/>
    </xf>
    <xf numFmtId="0" fontId="10" fillId="4" borderId="0" xfId="0" applyFont="1" applyFill="1" applyAlignment="1">
      <alignment horizontal="center" vertical="center" wrapText="1"/>
    </xf>
    <xf numFmtId="0" fontId="11" fillId="4" borderId="0" xfId="0" applyFont="1" applyFill="1" applyAlignment="1">
      <alignment horizontal="center" vertical="center" wrapText="1"/>
    </xf>
    <xf numFmtId="0" fontId="12" fillId="0" borderId="0" xfId="0" applyFont="1" applyAlignment="1">
      <alignment vertical="center" wrapText="1"/>
    </xf>
    <xf numFmtId="0" fontId="12" fillId="0" borderId="0" xfId="0" applyFont="1"/>
    <xf numFmtId="0" fontId="13" fillId="5" borderId="0" xfId="0" applyFont="1" applyFill="1"/>
    <xf numFmtId="0" fontId="3" fillId="2" borderId="6" xfId="0" applyFont="1" applyFill="1" applyBorder="1" applyAlignment="1">
      <alignment horizontal="center" vertical="center"/>
    </xf>
    <xf numFmtId="0" fontId="0" fillId="0" borderId="0" xfId="0" applyAlignment="1">
      <alignment vertical="center"/>
    </xf>
    <xf numFmtId="0" fontId="0" fillId="0" borderId="2" xfId="0" applyBorder="1" applyAlignment="1">
      <alignment horizontal="left" vertical="center" wrapText="1"/>
    </xf>
    <xf numFmtId="0" fontId="0" fillId="6" borderId="2" xfId="0" applyFill="1" applyBorder="1" applyAlignment="1">
      <alignment wrapText="1"/>
    </xf>
    <xf numFmtId="0" fontId="0" fillId="0" borderId="2" xfId="0" applyBorder="1" applyAlignment="1">
      <alignment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wrapText="1"/>
    </xf>
    <xf numFmtId="0" fontId="7" fillId="0" borderId="2" xfId="0" applyFont="1" applyBorder="1" applyAlignment="1">
      <alignment horizontal="left" vertical="center" wrapText="1"/>
    </xf>
    <xf numFmtId="0" fontId="6" fillId="0" borderId="2" xfId="0" applyFont="1" applyBorder="1" applyAlignment="1">
      <alignment horizontal="left" vertical="center" wrapText="1"/>
    </xf>
    <xf numFmtId="0" fontId="0" fillId="0" borderId="2" xfId="0" applyBorder="1" applyAlignment="1">
      <alignment horizontal="left" wrapText="1"/>
    </xf>
    <xf numFmtId="0" fontId="4" fillId="0" borderId="2" xfId="0" applyFont="1" applyBorder="1" applyAlignment="1">
      <alignment wrapText="1"/>
    </xf>
    <xf numFmtId="0" fontId="4" fillId="3" borderId="2" xfId="0" applyFont="1" applyFill="1" applyBorder="1" applyAlignment="1">
      <alignment wrapText="1"/>
    </xf>
    <xf numFmtId="0" fontId="4" fillId="3" borderId="2" xfId="0" applyFont="1" applyFill="1" applyBorder="1" applyAlignment="1">
      <alignment horizontal="left" wrapText="1"/>
    </xf>
    <xf numFmtId="0" fontId="8" fillId="0" borderId="2" xfId="0" applyFont="1" applyBorder="1" applyAlignment="1">
      <alignment vertical="center" wrapText="1"/>
    </xf>
    <xf numFmtId="0" fontId="8" fillId="0" borderId="2" xfId="0" applyFont="1" applyBorder="1" applyAlignment="1">
      <alignment wrapText="1"/>
    </xf>
    <xf numFmtId="0" fontId="9" fillId="0" borderId="2" xfId="0" applyFont="1" applyBorder="1"/>
    <xf numFmtId="0" fontId="9" fillId="0" borderId="2" xfId="0" applyFont="1" applyBorder="1" applyAlignment="1">
      <alignment vertical="center"/>
    </xf>
    <xf numFmtId="0" fontId="9" fillId="0" borderId="2" xfId="0" applyFont="1" applyBorder="1" applyAlignment="1">
      <alignment wrapText="1"/>
    </xf>
    <xf numFmtId="0" fontId="9" fillId="0" borderId="2" xfId="0" applyFont="1" applyBorder="1" applyAlignment="1">
      <alignment vertical="center"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2" xfId="0" applyBorder="1" applyAlignment="1">
      <alignment horizontal="left" wrapText="1"/>
    </xf>
    <xf numFmtId="0" fontId="1" fillId="0" borderId="0" xfId="0" applyFont="1" applyAlignment="1">
      <alignment horizontal="left" wrapText="1"/>
    </xf>
    <xf numFmtId="0" fontId="5" fillId="0" borderId="2" xfId="0" applyFont="1" applyBorder="1" applyAlignment="1">
      <alignment horizontal="left" vertical="center" wrapText="1"/>
    </xf>
    <xf numFmtId="0" fontId="4" fillId="0" borderId="2" xfId="0" applyFont="1" applyBorder="1" applyAlignment="1">
      <alignment horizontal="left" vertical="top"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6" borderId="2" xfId="0" applyFont="1" applyFill="1" applyBorder="1" applyAlignment="1">
      <alignment horizontal="left" wrapText="1"/>
    </xf>
    <xf numFmtId="0" fontId="4" fillId="0" borderId="2" xfId="0" applyFont="1" applyBorder="1" applyAlignment="1">
      <alignment horizontal="left" wrapText="1"/>
    </xf>
    <xf numFmtId="0" fontId="4" fillId="6" borderId="2" xfId="0" applyFont="1" applyFill="1" applyBorder="1" applyAlignment="1">
      <alignment horizontal="left" vertical="center" wrapText="1"/>
    </xf>
    <xf numFmtId="0" fontId="0" fillId="0" borderId="2" xfId="0" applyBorder="1" applyAlignment="1">
      <alignment horizontal="center" vertical="center" wrapText="1"/>
    </xf>
    <xf numFmtId="0" fontId="0" fillId="6" borderId="2" xfId="0" applyFill="1" applyBorder="1" applyAlignment="1">
      <alignment horizontal="left" vertical="center" wrapText="1"/>
    </xf>
    <xf numFmtId="0" fontId="6" fillId="6" borderId="2"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top" wrapText="1"/>
    </xf>
    <xf numFmtId="0" fontId="7" fillId="0" borderId="2" xfId="0" applyFont="1" applyBorder="1" applyAlignment="1">
      <alignment horizontal="lef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horizontal="center" wrapText="1"/>
    </xf>
    <xf numFmtId="0" fontId="0" fillId="0" borderId="2" xfId="0" applyBorder="1" applyAlignment="1">
      <alignment horizontal="center"/>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0" fillId="0" borderId="2" xfId="0" applyBorder="1" applyAlignment="1">
      <alignment vertical="center" wrapText="1"/>
    </xf>
    <xf numFmtId="0" fontId="0" fillId="6" borderId="2"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F994F-4482-40F4-9BDE-68A97766179E}">
  <dimension ref="A1:C15"/>
  <sheetViews>
    <sheetView tabSelected="1" workbookViewId="0">
      <selection activeCell="H15" sqref="H15"/>
    </sheetView>
  </sheetViews>
  <sheetFormatPr baseColWidth="10" defaultColWidth="11.5546875" defaultRowHeight="15" x14ac:dyDescent="0.3"/>
  <cols>
    <col min="1" max="1" width="60.6640625" style="22" bestFit="1" customWidth="1"/>
    <col min="2" max="2" width="14.33203125" style="22" bestFit="1" customWidth="1"/>
    <col min="3" max="16384" width="11.5546875" style="22"/>
  </cols>
  <sheetData>
    <row r="1" spans="1:3" s="21" customFormat="1" ht="38.4" x14ac:dyDescent="0.3">
      <c r="A1" s="19" t="s">
        <v>0</v>
      </c>
      <c r="B1" s="19" t="s">
        <v>1</v>
      </c>
      <c r="C1" s="20" t="s">
        <v>2</v>
      </c>
    </row>
    <row r="2" spans="1:3" x14ac:dyDescent="0.3">
      <c r="A2" s="22" t="s">
        <v>3</v>
      </c>
      <c r="B2" s="22">
        <f>'Big Data &amp; Gouvernance'!B35</f>
        <v>6</v>
      </c>
      <c r="C2" s="22">
        <f>'Big Data &amp; Gouvernance'!D35</f>
        <v>27</v>
      </c>
    </row>
    <row r="3" spans="1:3" x14ac:dyDescent="0.3">
      <c r="A3" s="22" t="s">
        <v>4</v>
      </c>
      <c r="B3" s="22">
        <f>'Conception &amp; ingénierie'!B31</f>
        <v>6</v>
      </c>
      <c r="C3" s="22">
        <f>'Conception &amp; ingénierie'!D31</f>
        <v>25</v>
      </c>
    </row>
    <row r="4" spans="1:3" x14ac:dyDescent="0.3">
      <c r="A4" s="22" t="s">
        <v>5</v>
      </c>
      <c r="B4" s="22">
        <f>'Déploiement &amp; extension infra'!B41</f>
        <v>7</v>
      </c>
      <c r="C4" s="22">
        <f>'Déploiement &amp; extension infra'!D41</f>
        <v>34</v>
      </c>
    </row>
    <row r="5" spans="1:3" x14ac:dyDescent="0.3">
      <c r="A5" s="22" t="s">
        <v>6</v>
      </c>
      <c r="B5" s="22">
        <f>Digitalisation!B28</f>
        <v>5</v>
      </c>
      <c r="C5" s="22">
        <f>Digitalisation!D28</f>
        <v>20</v>
      </c>
    </row>
    <row r="6" spans="1:3" x14ac:dyDescent="0.3">
      <c r="A6" s="22" t="s">
        <v>7</v>
      </c>
      <c r="B6" s="22">
        <f>+'Exploitation et maint infra'!B40</f>
        <v>6</v>
      </c>
      <c r="C6" s="22">
        <f>+'Exploitation et maint infra'!D40</f>
        <v>33</v>
      </c>
    </row>
    <row r="7" spans="1:3" x14ac:dyDescent="0.3">
      <c r="A7" s="22" t="s">
        <v>8</v>
      </c>
      <c r="B7" s="22">
        <f>'Gestion budgétaire'!B39</f>
        <v>8</v>
      </c>
      <c r="C7" s="22">
        <f>'Gestion budgétaire'!D39</f>
        <v>33</v>
      </c>
    </row>
    <row r="8" spans="1:3" x14ac:dyDescent="0.3">
      <c r="A8" s="22" t="s">
        <v>9</v>
      </c>
      <c r="B8" s="22">
        <f>'Gouvernance N&amp;IS'!B43</f>
        <v>6</v>
      </c>
      <c r="C8" s="22">
        <f>'Gouvernance N&amp;IS'!D43</f>
        <v>36</v>
      </c>
    </row>
    <row r="9" spans="1:3" x14ac:dyDescent="0.3">
      <c r="A9" s="22" t="s">
        <v>10</v>
      </c>
      <c r="B9" s="22">
        <f>'Projets N&amp;IS'!B72</f>
        <v>13</v>
      </c>
      <c r="C9" s="22">
        <f>'Projets N&amp;IS'!D72</f>
        <v>64</v>
      </c>
    </row>
    <row r="10" spans="1:3" x14ac:dyDescent="0.3">
      <c r="A10" s="22" t="s">
        <v>11</v>
      </c>
      <c r="B10" s="22">
        <f>'Performance &amp; optimisation'!B33</f>
        <v>6</v>
      </c>
      <c r="C10" s="22">
        <f>'Performance &amp; optimisation'!D33</f>
        <v>26</v>
      </c>
    </row>
    <row r="11" spans="1:3" x14ac:dyDescent="0.3">
      <c r="A11" s="22" t="s">
        <v>12</v>
      </c>
      <c r="B11" s="22">
        <f>+'Sécurité &amp; Résilience SI'!B47</f>
        <v>10</v>
      </c>
      <c r="C11" s="22">
        <f>+'Sécurité &amp; Résilience SI'!D47</f>
        <v>43</v>
      </c>
    </row>
    <row r="12" spans="1:3" x14ac:dyDescent="0.3">
      <c r="A12" s="22" t="s">
        <v>13</v>
      </c>
      <c r="B12" s="22">
        <f>+'Stratégie &amp; Evolution des infra'!B26</f>
        <v>5</v>
      </c>
      <c r="C12" s="22">
        <f>+'Stratégie &amp; Evolution des infra'!D26</f>
        <v>20</v>
      </c>
    </row>
    <row r="13" spans="1:3" x14ac:dyDescent="0.3">
      <c r="A13" s="22" t="s">
        <v>14</v>
      </c>
      <c r="B13" s="22">
        <f>+'Support et Assistance IT'!B31</f>
        <v>6</v>
      </c>
      <c r="C13" s="22">
        <f>+'Support et Assistance IT'!D31</f>
        <v>24</v>
      </c>
    </row>
    <row r="14" spans="1:3" x14ac:dyDescent="0.3">
      <c r="A14" s="22" t="s">
        <v>15</v>
      </c>
      <c r="B14" s="22">
        <f>+'Support opérationnel aux activi'!B23</f>
        <v>4</v>
      </c>
      <c r="C14" s="22">
        <f>+'Support opérationnel aux activi'!D23</f>
        <v>18</v>
      </c>
    </row>
    <row r="15" spans="1:3" ht="19.2" x14ac:dyDescent="0.4">
      <c r="A15" s="23">
        <f>COUNTA(A2:A14)</f>
        <v>13</v>
      </c>
      <c r="B15" s="23">
        <f>SUM(B2:B14)</f>
        <v>88</v>
      </c>
      <c r="C15" s="23">
        <f>SUM(C2:C14)</f>
        <v>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DFE8-9645-4C04-9E78-C72777D97841}">
  <dimension ref="A1:E36"/>
  <sheetViews>
    <sheetView zoomScale="80" zoomScaleNormal="80" workbookViewId="0">
      <selection activeCell="E13" sqref="E13:E18"/>
    </sheetView>
  </sheetViews>
  <sheetFormatPr baseColWidth="10" defaultColWidth="84.33203125" defaultRowHeight="15" customHeight="1" x14ac:dyDescent="0.3"/>
  <cols>
    <col min="1" max="1" width="44.6640625" customWidth="1"/>
    <col min="2" max="2" width="43" customWidth="1"/>
    <col min="3" max="3" width="54.109375" customWidth="1"/>
    <col min="4" max="5" width="48.6640625" customWidth="1"/>
  </cols>
  <sheetData>
    <row r="1" spans="1:5" ht="23.4" x14ac:dyDescent="0.45">
      <c r="A1" s="47" t="s">
        <v>16</v>
      </c>
      <c r="B1" s="47"/>
      <c r="C1" s="1" t="s">
        <v>17</v>
      </c>
      <c r="D1" s="1"/>
      <c r="E1" s="1"/>
    </row>
    <row r="2" spans="1:5" ht="14.4" x14ac:dyDescent="0.3">
      <c r="A2" s="1"/>
      <c r="B2" s="1"/>
      <c r="C2" s="1"/>
      <c r="D2" s="1"/>
      <c r="E2" s="1"/>
    </row>
    <row r="3" spans="1:5" ht="24" customHeight="1" x14ac:dyDescent="0.3">
      <c r="A3" s="29" t="s">
        <v>18</v>
      </c>
      <c r="B3" s="29" t="s">
        <v>19</v>
      </c>
      <c r="C3" s="29" t="s">
        <v>20</v>
      </c>
      <c r="D3" s="30" t="s">
        <v>21</v>
      </c>
      <c r="E3" s="30" t="s">
        <v>22</v>
      </c>
    </row>
    <row r="4" spans="1:5" ht="28.8" customHeight="1" x14ac:dyDescent="0.3">
      <c r="A4" s="45" t="s">
        <v>23</v>
      </c>
      <c r="B4" s="45" t="s">
        <v>24</v>
      </c>
      <c r="C4" s="45" t="s">
        <v>25</v>
      </c>
      <c r="D4" s="28" t="s">
        <v>26</v>
      </c>
      <c r="E4" s="45" t="s">
        <v>27</v>
      </c>
    </row>
    <row r="5" spans="1:5" ht="28.8" x14ac:dyDescent="0.3">
      <c r="A5" s="45"/>
      <c r="B5" s="45"/>
      <c r="C5" s="45"/>
      <c r="D5" s="28" t="s">
        <v>28</v>
      </c>
      <c r="E5" s="45"/>
    </row>
    <row r="6" spans="1:5" ht="14.4" x14ac:dyDescent="0.3">
      <c r="A6" s="45"/>
      <c r="B6" s="45"/>
      <c r="C6" s="45"/>
      <c r="D6" s="28" t="s">
        <v>29</v>
      </c>
      <c r="E6" s="45"/>
    </row>
    <row r="7" spans="1:5" ht="28.8" x14ac:dyDescent="0.3">
      <c r="A7" s="45"/>
      <c r="B7" s="45"/>
      <c r="C7" s="45"/>
      <c r="D7" s="28" t="s">
        <v>30</v>
      </c>
      <c r="E7" s="45"/>
    </row>
    <row r="8" spans="1:5" ht="28.8" customHeight="1" x14ac:dyDescent="0.3">
      <c r="A8" s="45"/>
      <c r="B8" s="45" t="s">
        <v>31</v>
      </c>
      <c r="C8" s="45" t="s">
        <v>32</v>
      </c>
      <c r="D8" s="28" t="s">
        <v>33</v>
      </c>
      <c r="E8" s="45" t="s">
        <v>27</v>
      </c>
    </row>
    <row r="9" spans="1:5" ht="14.4" x14ac:dyDescent="0.3">
      <c r="A9" s="45"/>
      <c r="B9" s="45"/>
      <c r="C9" s="45"/>
      <c r="D9" s="28" t="s">
        <v>34</v>
      </c>
      <c r="E9" s="45"/>
    </row>
    <row r="10" spans="1:5" ht="28.8" x14ac:dyDescent="0.3">
      <c r="A10" s="45"/>
      <c r="B10" s="45"/>
      <c r="C10" s="45"/>
      <c r="D10" s="28" t="s">
        <v>35</v>
      </c>
      <c r="E10" s="45"/>
    </row>
    <row r="11" spans="1:5" ht="14.4" x14ac:dyDescent="0.3">
      <c r="A11" s="45"/>
      <c r="B11" s="45"/>
      <c r="C11" s="45"/>
      <c r="D11" s="28" t="s">
        <v>36</v>
      </c>
      <c r="E11" s="45"/>
    </row>
    <row r="12" spans="1:5" ht="14.4" x14ac:dyDescent="0.3">
      <c r="A12" s="45"/>
      <c r="B12" s="45"/>
      <c r="C12" s="45"/>
      <c r="D12" s="28" t="s">
        <v>37</v>
      </c>
      <c r="E12" s="45"/>
    </row>
    <row r="13" spans="1:5" ht="28.8" customHeight="1" x14ac:dyDescent="0.3">
      <c r="A13" s="45"/>
      <c r="B13" s="45" t="s">
        <v>38</v>
      </c>
      <c r="C13" s="45" t="s">
        <v>39</v>
      </c>
      <c r="D13" s="28" t="s">
        <v>40</v>
      </c>
      <c r="E13" s="45" t="s">
        <v>27</v>
      </c>
    </row>
    <row r="14" spans="1:5" ht="28.8" x14ac:dyDescent="0.3">
      <c r="A14" s="45"/>
      <c r="B14" s="45"/>
      <c r="C14" s="45"/>
      <c r="D14" s="28" t="s">
        <v>41</v>
      </c>
      <c r="E14" s="45"/>
    </row>
    <row r="15" spans="1:5" ht="28.8" x14ac:dyDescent="0.3">
      <c r="A15" s="45"/>
      <c r="B15" s="45"/>
      <c r="C15" s="45"/>
      <c r="D15" s="28" t="s">
        <v>42</v>
      </c>
      <c r="E15" s="45"/>
    </row>
    <row r="16" spans="1:5" ht="28.8" x14ac:dyDescent="0.3">
      <c r="A16" s="45"/>
      <c r="B16" s="45"/>
      <c r="C16" s="45"/>
      <c r="D16" s="28" t="s">
        <v>43</v>
      </c>
      <c r="E16" s="45"/>
    </row>
    <row r="17" spans="1:5" ht="72" x14ac:dyDescent="0.3">
      <c r="A17" s="45"/>
      <c r="B17" s="45"/>
      <c r="C17" s="45"/>
      <c r="D17" s="34" t="s">
        <v>44</v>
      </c>
      <c r="E17" s="45"/>
    </row>
    <row r="18" spans="1:5" ht="14.4" x14ac:dyDescent="0.3">
      <c r="A18" s="45"/>
      <c r="B18" s="45"/>
      <c r="C18" s="45"/>
      <c r="D18" s="28" t="s">
        <v>45</v>
      </c>
      <c r="E18" s="45"/>
    </row>
    <row r="19" spans="1:5" ht="28.8" customHeight="1" x14ac:dyDescent="0.3">
      <c r="A19" s="45"/>
      <c r="B19" s="45" t="s">
        <v>46</v>
      </c>
      <c r="C19" s="45" t="s">
        <v>47</v>
      </c>
      <c r="D19" s="28" t="s">
        <v>48</v>
      </c>
      <c r="E19" s="45" t="s">
        <v>27</v>
      </c>
    </row>
    <row r="20" spans="1:5" ht="14.4" x14ac:dyDescent="0.3">
      <c r="A20" s="45"/>
      <c r="B20" s="45"/>
      <c r="C20" s="45"/>
      <c r="D20" s="28" t="s">
        <v>49</v>
      </c>
      <c r="E20" s="45"/>
    </row>
    <row r="21" spans="1:5" ht="14.4" x14ac:dyDescent="0.3">
      <c r="A21" s="45"/>
      <c r="B21" s="45"/>
      <c r="C21" s="45"/>
      <c r="D21" s="28" t="s">
        <v>50</v>
      </c>
      <c r="E21" s="45"/>
    </row>
    <row r="22" spans="1:5" ht="14.4" x14ac:dyDescent="0.3">
      <c r="A22" s="45"/>
      <c r="B22" s="45"/>
      <c r="C22" s="45"/>
      <c r="D22" s="28" t="s">
        <v>51</v>
      </c>
      <c r="E22" s="45"/>
    </row>
    <row r="23" spans="1:5" ht="28.8" x14ac:dyDescent="0.3">
      <c r="A23" s="45"/>
      <c r="B23" s="45"/>
      <c r="C23" s="45"/>
      <c r="D23" s="28" t="s">
        <v>52</v>
      </c>
      <c r="E23" s="45"/>
    </row>
    <row r="24" spans="1:5" ht="57.6" x14ac:dyDescent="0.3">
      <c r="A24" s="45"/>
      <c r="B24" s="45"/>
      <c r="C24" s="45"/>
      <c r="D24" s="28" t="s">
        <v>53</v>
      </c>
      <c r="E24" s="45"/>
    </row>
    <row r="25" spans="1:5" ht="14.4" x14ac:dyDescent="0.3">
      <c r="A25" s="45"/>
      <c r="B25" s="45"/>
      <c r="C25" s="45"/>
      <c r="D25" s="28" t="s">
        <v>54</v>
      </c>
      <c r="E25" s="45"/>
    </row>
    <row r="26" spans="1:5" ht="14.4" x14ac:dyDescent="0.3">
      <c r="A26" s="45"/>
      <c r="B26" s="45"/>
      <c r="C26" s="26"/>
      <c r="D26" s="28"/>
      <c r="E26" s="26"/>
    </row>
    <row r="27" spans="1:5" ht="57.6" x14ac:dyDescent="0.3">
      <c r="A27" s="45"/>
      <c r="B27" s="45" t="s">
        <v>55</v>
      </c>
      <c r="C27" s="45" t="s">
        <v>56</v>
      </c>
      <c r="D27" s="28" t="s">
        <v>57</v>
      </c>
      <c r="E27" s="45" t="s">
        <v>27</v>
      </c>
    </row>
    <row r="28" spans="1:5" ht="72" x14ac:dyDescent="0.3">
      <c r="A28" s="45"/>
      <c r="B28" s="45"/>
      <c r="C28" s="45"/>
      <c r="D28" s="28" t="s">
        <v>58</v>
      </c>
      <c r="E28" s="45"/>
    </row>
    <row r="29" spans="1:5" ht="14.4" x14ac:dyDescent="0.3">
      <c r="A29" s="45"/>
      <c r="B29" s="45"/>
      <c r="C29" s="45"/>
      <c r="D29" s="46" t="s">
        <v>59</v>
      </c>
      <c r="E29" s="45"/>
    </row>
    <row r="30" spans="1:5" ht="14.4" x14ac:dyDescent="0.3">
      <c r="A30" s="45"/>
      <c r="B30" s="45"/>
      <c r="C30" s="45"/>
      <c r="D30" s="46"/>
      <c r="E30" s="45"/>
    </row>
    <row r="31" spans="1:5" ht="14.4" x14ac:dyDescent="0.3">
      <c r="A31" s="45"/>
      <c r="B31" s="45"/>
      <c r="C31" s="45"/>
      <c r="D31" s="46"/>
      <c r="E31" s="45"/>
    </row>
    <row r="32" spans="1:5" ht="28.8" customHeight="1" x14ac:dyDescent="0.3">
      <c r="A32" s="45"/>
      <c r="B32" s="45" t="s">
        <v>60</v>
      </c>
      <c r="C32" s="45" t="s">
        <v>61</v>
      </c>
      <c r="D32" s="28" t="s">
        <v>62</v>
      </c>
      <c r="E32" s="45" t="s">
        <v>27</v>
      </c>
    </row>
    <row r="33" spans="1:5" ht="57.6" x14ac:dyDescent="0.3">
      <c r="A33" s="45"/>
      <c r="B33" s="45"/>
      <c r="C33" s="45"/>
      <c r="D33" s="28" t="s">
        <v>63</v>
      </c>
      <c r="E33" s="45"/>
    </row>
    <row r="34" spans="1:5" ht="14.4" x14ac:dyDescent="0.3">
      <c r="A34" s="4"/>
      <c r="B34" s="4"/>
      <c r="C34" s="4"/>
      <c r="D34" s="1"/>
      <c r="E34" s="1"/>
    </row>
    <row r="35" spans="1:5" ht="14.4" x14ac:dyDescent="0.3">
      <c r="A35" s="4"/>
      <c r="B35" s="4">
        <f>COUNTA(B4:B33)</f>
        <v>6</v>
      </c>
      <c r="C35" s="4"/>
      <c r="D35" s="4">
        <f>COUNTA(D4:D33)</f>
        <v>27</v>
      </c>
      <c r="E35" s="4"/>
    </row>
    <row r="36" spans="1:5" ht="14.4" x14ac:dyDescent="0.3">
      <c r="A36" s="4"/>
    </row>
  </sheetData>
  <mergeCells count="21">
    <mergeCell ref="A1:B1"/>
    <mergeCell ref="A4:A33"/>
    <mergeCell ref="B4:B7"/>
    <mergeCell ref="C4:C7"/>
    <mergeCell ref="E4:E7"/>
    <mergeCell ref="B8:B12"/>
    <mergeCell ref="C8:C12"/>
    <mergeCell ref="E8:E12"/>
    <mergeCell ref="B13:B18"/>
    <mergeCell ref="C13:C18"/>
    <mergeCell ref="B32:B33"/>
    <mergeCell ref="C32:C33"/>
    <mergeCell ref="E32:E33"/>
    <mergeCell ref="E13:E18"/>
    <mergeCell ref="B19:B26"/>
    <mergeCell ref="C19:C25"/>
    <mergeCell ref="E19:E25"/>
    <mergeCell ref="B27:B31"/>
    <mergeCell ref="C27:C31"/>
    <mergeCell ref="E27:E31"/>
    <mergeCell ref="D29:D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1700-9574-4C80-B6F4-0C19348A0F7F}">
  <dimension ref="A1:E37"/>
  <sheetViews>
    <sheetView topLeftCell="C12" workbookViewId="0">
      <selection activeCell="G32" sqref="G32"/>
    </sheetView>
  </sheetViews>
  <sheetFormatPr baseColWidth="10" defaultColWidth="20.6640625" defaultRowHeight="15" customHeight="1" x14ac:dyDescent="0.3"/>
  <cols>
    <col min="1" max="1" width="64.44140625" customWidth="1"/>
    <col min="2" max="2" width="25.33203125" bestFit="1" customWidth="1"/>
    <col min="3" max="3" width="34.6640625" customWidth="1"/>
    <col min="4" max="4" width="54.33203125" customWidth="1"/>
    <col min="5" max="5" width="38" customWidth="1"/>
  </cols>
  <sheetData>
    <row r="1" spans="1:5" ht="23.4" x14ac:dyDescent="0.45">
      <c r="A1" s="47" t="s">
        <v>64</v>
      </c>
      <c r="B1" s="47"/>
      <c r="C1" s="1" t="s">
        <v>17</v>
      </c>
      <c r="D1" s="1"/>
      <c r="E1" s="1"/>
    </row>
    <row r="2" spans="1:5" ht="14.4" x14ac:dyDescent="0.3">
      <c r="A2" s="1"/>
      <c r="B2" s="1"/>
      <c r="C2" s="1"/>
      <c r="D2" s="1"/>
      <c r="E2" s="1"/>
    </row>
    <row r="3" spans="1:5" ht="21" x14ac:dyDescent="0.3">
      <c r="A3" s="2" t="s">
        <v>18</v>
      </c>
      <c r="B3" s="2" t="s">
        <v>19</v>
      </c>
      <c r="C3" s="2" t="s">
        <v>20</v>
      </c>
      <c r="D3" s="3" t="s">
        <v>21</v>
      </c>
      <c r="E3" s="3" t="s">
        <v>22</v>
      </c>
    </row>
    <row r="4" spans="1:5" ht="14.4" customHeight="1" x14ac:dyDescent="0.3">
      <c r="A4" s="49" t="s">
        <v>65</v>
      </c>
      <c r="B4" s="45" t="s">
        <v>66</v>
      </c>
      <c r="C4" s="48" t="s">
        <v>67</v>
      </c>
      <c r="D4" s="28" t="s">
        <v>68</v>
      </c>
      <c r="E4" s="50" t="s">
        <v>69</v>
      </c>
    </row>
    <row r="5" spans="1:5" ht="28.8" x14ac:dyDescent="0.3">
      <c r="A5" s="49"/>
      <c r="B5" s="45"/>
      <c r="C5" s="48"/>
      <c r="D5" s="28" t="s">
        <v>70</v>
      </c>
      <c r="E5" s="50"/>
    </row>
    <row r="6" spans="1:5" ht="14.4" x14ac:dyDescent="0.3">
      <c r="A6" s="49"/>
      <c r="B6" s="45"/>
      <c r="C6" s="48"/>
      <c r="D6" s="28" t="s">
        <v>71</v>
      </c>
      <c r="E6" s="50"/>
    </row>
    <row r="7" spans="1:5" ht="14.4" x14ac:dyDescent="0.3">
      <c r="A7" s="49"/>
      <c r="B7" s="45"/>
      <c r="C7" s="48"/>
      <c r="D7" s="28" t="s">
        <v>72</v>
      </c>
      <c r="E7" s="50"/>
    </row>
    <row r="8" spans="1:5" ht="14.4" customHeight="1" x14ac:dyDescent="0.3">
      <c r="A8" s="49"/>
      <c r="B8" s="45" t="s">
        <v>73</v>
      </c>
      <c r="C8" s="48" t="s">
        <v>74</v>
      </c>
      <c r="D8" s="28" t="s">
        <v>75</v>
      </c>
      <c r="E8" s="50" t="s">
        <v>76</v>
      </c>
    </row>
    <row r="9" spans="1:5" ht="28.8" x14ac:dyDescent="0.3">
      <c r="A9" s="49"/>
      <c r="B9" s="45"/>
      <c r="C9" s="48"/>
      <c r="D9" s="28" t="s">
        <v>77</v>
      </c>
      <c r="E9" s="50"/>
    </row>
    <row r="10" spans="1:5" ht="14.4" customHeight="1" x14ac:dyDescent="0.3">
      <c r="A10" s="49"/>
      <c r="B10" s="45"/>
      <c r="C10" s="48"/>
      <c r="D10" s="28" t="s">
        <v>78</v>
      </c>
      <c r="E10" s="50"/>
    </row>
    <row r="11" spans="1:5" ht="14.4" x14ac:dyDescent="0.3">
      <c r="A11" s="49"/>
      <c r="B11" s="45"/>
      <c r="C11" s="48"/>
      <c r="D11" s="28" t="s">
        <v>79</v>
      </c>
      <c r="E11" s="50"/>
    </row>
    <row r="12" spans="1:5" ht="28.8" x14ac:dyDescent="0.3">
      <c r="A12" s="49"/>
      <c r="B12" s="45" t="s">
        <v>80</v>
      </c>
      <c r="C12" s="48" t="s">
        <v>81</v>
      </c>
      <c r="D12" s="28" t="s">
        <v>82</v>
      </c>
      <c r="E12" s="50" t="s">
        <v>76</v>
      </c>
    </row>
    <row r="13" spans="1:5" ht="14.4" x14ac:dyDescent="0.3">
      <c r="A13" s="49"/>
      <c r="B13" s="45"/>
      <c r="C13" s="48"/>
      <c r="D13" s="28" t="s">
        <v>83</v>
      </c>
      <c r="E13" s="50"/>
    </row>
    <row r="14" spans="1:5" ht="14.4" x14ac:dyDescent="0.3">
      <c r="A14" s="49"/>
      <c r="B14" s="45"/>
      <c r="C14" s="48"/>
      <c r="D14" s="28" t="s">
        <v>84</v>
      </c>
      <c r="E14" s="50"/>
    </row>
    <row r="15" spans="1:5" ht="14.4" customHeight="1" x14ac:dyDescent="0.3">
      <c r="A15" s="49"/>
      <c r="B15" s="45"/>
      <c r="C15" s="48"/>
      <c r="D15" s="28" t="s">
        <v>85</v>
      </c>
      <c r="E15" s="50"/>
    </row>
    <row r="16" spans="1:5" ht="14.4" customHeight="1" x14ac:dyDescent="0.3">
      <c r="A16" s="49"/>
      <c r="B16" s="45" t="s">
        <v>86</v>
      </c>
      <c r="C16" s="48" t="s">
        <v>87</v>
      </c>
      <c r="D16" s="28" t="s">
        <v>88</v>
      </c>
      <c r="E16" s="50" t="s">
        <v>76</v>
      </c>
    </row>
    <row r="17" spans="1:5" ht="14.4" x14ac:dyDescent="0.3">
      <c r="A17" s="49"/>
      <c r="B17" s="45"/>
      <c r="C17" s="48"/>
      <c r="D17" s="28" t="s">
        <v>89</v>
      </c>
      <c r="E17" s="50"/>
    </row>
    <row r="18" spans="1:5" ht="14.4" x14ac:dyDescent="0.3">
      <c r="A18" s="49"/>
      <c r="B18" s="45"/>
      <c r="C18" s="48"/>
      <c r="D18" s="28" t="s">
        <v>90</v>
      </c>
      <c r="E18" s="50"/>
    </row>
    <row r="19" spans="1:5" ht="14.4" x14ac:dyDescent="0.3">
      <c r="A19" s="49"/>
      <c r="B19" s="45"/>
      <c r="C19" s="48"/>
      <c r="D19" s="28" t="s">
        <v>91</v>
      </c>
      <c r="E19" s="50"/>
    </row>
    <row r="20" spans="1:5" ht="14.4" customHeight="1" x14ac:dyDescent="0.3">
      <c r="A20" s="49"/>
      <c r="B20" s="45" t="s">
        <v>92</v>
      </c>
      <c r="C20" s="48" t="s">
        <v>93</v>
      </c>
      <c r="D20" s="28" t="s">
        <v>94</v>
      </c>
      <c r="E20" s="50" t="s">
        <v>76</v>
      </c>
    </row>
    <row r="21" spans="1:5" ht="14.4" x14ac:dyDescent="0.3">
      <c r="A21" s="49"/>
      <c r="B21" s="45"/>
      <c r="C21" s="48"/>
      <c r="D21" s="28" t="s">
        <v>95</v>
      </c>
      <c r="E21" s="50"/>
    </row>
    <row r="22" spans="1:5" ht="14.4" x14ac:dyDescent="0.3">
      <c r="A22" s="49"/>
      <c r="B22" s="45"/>
      <c r="C22" s="48"/>
      <c r="D22" s="28" t="s">
        <v>96</v>
      </c>
      <c r="E22" s="50"/>
    </row>
    <row r="23" spans="1:5" ht="14.4" x14ac:dyDescent="0.3">
      <c r="A23" s="49"/>
      <c r="B23" s="45"/>
      <c r="C23" s="48"/>
      <c r="D23" s="28" t="s">
        <v>97</v>
      </c>
      <c r="E23" s="50"/>
    </row>
    <row r="24" spans="1:5" ht="28.8" x14ac:dyDescent="0.3">
      <c r="A24" s="49"/>
      <c r="B24" s="45" t="s">
        <v>98</v>
      </c>
      <c r="C24" s="48" t="s">
        <v>99</v>
      </c>
      <c r="D24" s="28" t="s">
        <v>100</v>
      </c>
      <c r="E24" s="50" t="s">
        <v>76</v>
      </c>
    </row>
    <row r="25" spans="1:5" ht="14.4" customHeight="1" x14ac:dyDescent="0.3">
      <c r="A25" s="49"/>
      <c r="B25" s="45"/>
      <c r="C25" s="48"/>
      <c r="D25" s="28" t="s">
        <v>101</v>
      </c>
      <c r="E25" s="50"/>
    </row>
    <row r="26" spans="1:5" ht="14.4" x14ac:dyDescent="0.3">
      <c r="A26" s="49"/>
      <c r="B26" s="45"/>
      <c r="C26" s="48"/>
      <c r="D26" s="28" t="s">
        <v>102</v>
      </c>
      <c r="E26" s="50"/>
    </row>
    <row r="27" spans="1:5" ht="14.4" x14ac:dyDescent="0.3">
      <c r="A27" s="49"/>
      <c r="B27" s="45"/>
      <c r="C27" s="48"/>
      <c r="D27" s="28" t="s">
        <v>103</v>
      </c>
      <c r="E27" s="50"/>
    </row>
    <row r="28" spans="1:5" ht="14.4" customHeight="1" x14ac:dyDescent="0.3">
      <c r="A28" s="49"/>
      <c r="B28" s="45"/>
      <c r="C28" s="48"/>
      <c r="D28" s="28" t="s">
        <v>104</v>
      </c>
      <c r="E28" s="50"/>
    </row>
    <row r="29" spans="1:5" ht="14.4" x14ac:dyDescent="0.3">
      <c r="A29" s="6"/>
      <c r="B29" s="7"/>
      <c r="C29" s="7"/>
      <c r="D29" s="8"/>
      <c r="E29" s="8"/>
    </row>
    <row r="30" spans="1:5" ht="14.4" x14ac:dyDescent="0.3">
      <c r="A30" s="6"/>
      <c r="B30" s="7"/>
      <c r="C30" s="7"/>
      <c r="D30" s="8"/>
      <c r="E30" s="8"/>
    </row>
    <row r="31" spans="1:5" ht="14.4" customHeight="1" x14ac:dyDescent="0.3">
      <c r="A31" s="6"/>
      <c r="B31" s="7">
        <f>COUNTA(B4:B28)</f>
        <v>6</v>
      </c>
      <c r="C31" s="7"/>
      <c r="D31" s="7">
        <f t="shared" ref="D31" si="0">COUNTA(D4:D28)</f>
        <v>25</v>
      </c>
      <c r="E31" s="7"/>
    </row>
    <row r="32" spans="1:5" ht="14.4" customHeight="1" x14ac:dyDescent="0.3">
      <c r="A32" s="6"/>
      <c r="B32" s="9"/>
      <c r="C32" s="9"/>
      <c r="D32" s="10"/>
      <c r="E32" s="10"/>
    </row>
    <row r="33" spans="1:5" ht="14.4" x14ac:dyDescent="0.3">
      <c r="A33" s="6"/>
      <c r="B33" s="9"/>
      <c r="C33" s="9"/>
      <c r="D33" s="10"/>
      <c r="E33" s="10"/>
    </row>
    <row r="34" spans="1:5" ht="14.4" x14ac:dyDescent="0.3">
      <c r="A34" s="6"/>
      <c r="B34" s="9"/>
      <c r="C34" s="9"/>
      <c r="D34" s="8"/>
      <c r="E34" s="8"/>
    </row>
    <row r="35" spans="1:5" ht="14.4" x14ac:dyDescent="0.3">
      <c r="A35" s="6"/>
      <c r="B35" s="9"/>
      <c r="C35" s="9"/>
      <c r="D35" s="10"/>
      <c r="E35" s="10"/>
    </row>
    <row r="36" spans="1:5" ht="14.4" x14ac:dyDescent="0.3">
      <c r="A36" s="6"/>
      <c r="B36" s="9"/>
      <c r="C36" s="9"/>
      <c r="D36" s="10"/>
      <c r="E36" s="10"/>
    </row>
    <row r="37" spans="1:5" x14ac:dyDescent="0.3">
      <c r="A37" s="6"/>
      <c r="B37" s="9"/>
      <c r="C37" s="9"/>
      <c r="D37" s="10"/>
      <c r="E37" s="10"/>
    </row>
  </sheetData>
  <mergeCells count="20">
    <mergeCell ref="E16:E19"/>
    <mergeCell ref="E20:E23"/>
    <mergeCell ref="E24:E28"/>
    <mergeCell ref="E4:E7"/>
    <mergeCell ref="E8:E11"/>
    <mergeCell ref="E12:E15"/>
    <mergeCell ref="A1:B1"/>
    <mergeCell ref="C20:C23"/>
    <mergeCell ref="B24:B28"/>
    <mergeCell ref="C24:C28"/>
    <mergeCell ref="C8:C11"/>
    <mergeCell ref="A4:A28"/>
    <mergeCell ref="B12:B15"/>
    <mergeCell ref="C12:C15"/>
    <mergeCell ref="B16:B19"/>
    <mergeCell ref="C16:C19"/>
    <mergeCell ref="B20:B23"/>
    <mergeCell ref="B4:B7"/>
    <mergeCell ref="C4:C7"/>
    <mergeCell ref="B8: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6641-1E71-4520-825E-60AA2212E1B0}">
  <dimension ref="A1:E41"/>
  <sheetViews>
    <sheetView topLeftCell="A21" zoomScale="80" zoomScaleNormal="80" workbookViewId="0">
      <selection activeCell="E32" sqref="A4:E37"/>
    </sheetView>
  </sheetViews>
  <sheetFormatPr baseColWidth="10" defaultColWidth="20.6640625" defaultRowHeight="15" customHeight="1" x14ac:dyDescent="0.3"/>
  <cols>
    <col min="1" max="1" width="64.44140625" customWidth="1"/>
    <col min="2" max="2" width="25.33203125" bestFit="1" customWidth="1"/>
    <col min="3" max="3" width="42.44140625" bestFit="1" customWidth="1"/>
    <col min="4" max="4" width="55.88671875" customWidth="1"/>
    <col min="5" max="5" width="36" style="25" customWidth="1"/>
  </cols>
  <sheetData>
    <row r="1" spans="1:5" ht="23.4" x14ac:dyDescent="0.45">
      <c r="A1" s="47" t="s">
        <v>105</v>
      </c>
      <c r="B1" s="47"/>
      <c r="C1" s="1" t="s">
        <v>17</v>
      </c>
      <c r="D1" s="1"/>
      <c r="E1" s="4"/>
    </row>
    <row r="2" spans="1:5" ht="14.4" x14ac:dyDescent="0.3">
      <c r="A2" s="1"/>
      <c r="B2" s="1"/>
      <c r="C2" s="1"/>
      <c r="D2" s="1"/>
      <c r="E2" s="4"/>
    </row>
    <row r="3" spans="1:5" ht="21" x14ac:dyDescent="0.3">
      <c r="A3" s="2" t="s">
        <v>18</v>
      </c>
      <c r="B3" s="2" t="s">
        <v>19</v>
      </c>
      <c r="C3" s="2" t="s">
        <v>20</v>
      </c>
      <c r="D3" s="3" t="s">
        <v>21</v>
      </c>
      <c r="E3" s="3" t="s">
        <v>22</v>
      </c>
    </row>
    <row r="4" spans="1:5" ht="28.8" x14ac:dyDescent="0.3">
      <c r="A4" s="50" t="s">
        <v>106</v>
      </c>
      <c r="B4" s="51" t="s">
        <v>107</v>
      </c>
      <c r="C4" s="51" t="s">
        <v>108</v>
      </c>
      <c r="D4" s="35" t="s">
        <v>109</v>
      </c>
      <c r="E4" s="56" t="s">
        <v>110</v>
      </c>
    </row>
    <row r="5" spans="1:5" ht="14.4" x14ac:dyDescent="0.3">
      <c r="A5" s="50"/>
      <c r="B5" s="51"/>
      <c r="C5" s="51"/>
      <c r="D5" s="35" t="s">
        <v>111</v>
      </c>
      <c r="E5" s="56"/>
    </row>
    <row r="6" spans="1:5" ht="14.4" x14ac:dyDescent="0.3">
      <c r="A6" s="50"/>
      <c r="B6" s="51"/>
      <c r="C6" s="51"/>
      <c r="D6" s="35" t="s">
        <v>112</v>
      </c>
      <c r="E6" s="56"/>
    </row>
    <row r="7" spans="1:5" ht="14.4" x14ac:dyDescent="0.3">
      <c r="A7" s="50"/>
      <c r="B7" s="51"/>
      <c r="C7" s="51"/>
      <c r="D7" s="35" t="s">
        <v>113</v>
      </c>
      <c r="E7" s="56"/>
    </row>
    <row r="8" spans="1:5" ht="14.4" x14ac:dyDescent="0.3">
      <c r="A8" s="50"/>
      <c r="B8" s="51"/>
      <c r="C8" s="51"/>
      <c r="D8" s="35" t="s">
        <v>114</v>
      </c>
      <c r="E8" s="56"/>
    </row>
    <row r="9" spans="1:5" ht="14.4" x14ac:dyDescent="0.3">
      <c r="A9" s="50"/>
      <c r="B9" s="51"/>
      <c r="C9" s="51"/>
      <c r="D9" s="35" t="s">
        <v>115</v>
      </c>
      <c r="E9" s="56"/>
    </row>
    <row r="10" spans="1:5" ht="28.8" customHeight="1" x14ac:dyDescent="0.3">
      <c r="A10" s="50"/>
      <c r="B10" s="52" t="s">
        <v>116</v>
      </c>
      <c r="C10" s="52" t="s">
        <v>117</v>
      </c>
      <c r="D10" s="35" t="s">
        <v>118</v>
      </c>
      <c r="E10" s="53" t="s">
        <v>119</v>
      </c>
    </row>
    <row r="11" spans="1:5" ht="28.8" x14ac:dyDescent="0.3">
      <c r="A11" s="50"/>
      <c r="B11" s="52"/>
      <c r="C11" s="52"/>
      <c r="D11" s="35" t="s">
        <v>120</v>
      </c>
      <c r="E11" s="53"/>
    </row>
    <row r="12" spans="1:5" ht="14.4" x14ac:dyDescent="0.3">
      <c r="A12" s="50"/>
      <c r="B12" s="52"/>
      <c r="C12" s="52"/>
      <c r="D12" s="35" t="s">
        <v>121</v>
      </c>
      <c r="E12" s="53"/>
    </row>
    <row r="13" spans="1:5" ht="28.8" x14ac:dyDescent="0.3">
      <c r="A13" s="50"/>
      <c r="B13" s="52"/>
      <c r="C13" s="52"/>
      <c r="D13" s="35" t="s">
        <v>122</v>
      </c>
      <c r="E13" s="53"/>
    </row>
    <row r="14" spans="1:5" ht="14.4" x14ac:dyDescent="0.3">
      <c r="A14" s="50"/>
      <c r="B14" s="52"/>
      <c r="C14" s="52"/>
      <c r="D14" s="35" t="s">
        <v>123</v>
      </c>
      <c r="E14" s="53"/>
    </row>
    <row r="15" spans="1:5" ht="28.8" customHeight="1" x14ac:dyDescent="0.3">
      <c r="A15" s="50"/>
      <c r="B15" s="52" t="s">
        <v>124</v>
      </c>
      <c r="C15" s="52" t="s">
        <v>125</v>
      </c>
      <c r="D15" s="35" t="s">
        <v>126</v>
      </c>
      <c r="E15" s="56" t="s">
        <v>127</v>
      </c>
    </row>
    <row r="16" spans="1:5" ht="28.8" x14ac:dyDescent="0.3">
      <c r="A16" s="50"/>
      <c r="B16" s="52"/>
      <c r="C16" s="52"/>
      <c r="D16" s="35" t="s">
        <v>128</v>
      </c>
      <c r="E16" s="56"/>
    </row>
    <row r="17" spans="1:5" ht="14.4" x14ac:dyDescent="0.3">
      <c r="A17" s="50"/>
      <c r="B17" s="52"/>
      <c r="C17" s="52"/>
      <c r="D17" s="35" t="s">
        <v>129</v>
      </c>
      <c r="E17" s="56"/>
    </row>
    <row r="18" spans="1:5" ht="14.4" x14ac:dyDescent="0.3">
      <c r="A18" s="50"/>
      <c r="B18" s="52"/>
      <c r="C18" s="52"/>
      <c r="D18" s="35" t="s">
        <v>130</v>
      </c>
      <c r="E18" s="56"/>
    </row>
    <row r="19" spans="1:5" ht="14.4" x14ac:dyDescent="0.3">
      <c r="A19" s="50"/>
      <c r="B19" s="52"/>
      <c r="C19" s="52"/>
      <c r="D19" s="35" t="s">
        <v>131</v>
      </c>
      <c r="E19" s="56"/>
    </row>
    <row r="20" spans="1:5" ht="28.8" x14ac:dyDescent="0.3">
      <c r="A20" s="50"/>
      <c r="B20" s="52" t="s">
        <v>132</v>
      </c>
      <c r="C20" s="52" t="s">
        <v>133</v>
      </c>
      <c r="D20" s="35" t="s">
        <v>134</v>
      </c>
      <c r="E20" s="53" t="s">
        <v>135</v>
      </c>
    </row>
    <row r="21" spans="1:5" ht="28.8" x14ac:dyDescent="0.3">
      <c r="A21" s="50"/>
      <c r="B21" s="52"/>
      <c r="C21" s="52"/>
      <c r="D21" s="35" t="s">
        <v>136</v>
      </c>
      <c r="E21" s="53"/>
    </row>
    <row r="22" spans="1:5" ht="28.8" x14ac:dyDescent="0.3">
      <c r="A22" s="50"/>
      <c r="B22" s="52"/>
      <c r="C22" s="52"/>
      <c r="D22" s="35" t="s">
        <v>137</v>
      </c>
      <c r="E22" s="53"/>
    </row>
    <row r="23" spans="1:5" ht="28.8" x14ac:dyDescent="0.3">
      <c r="A23" s="50"/>
      <c r="B23" s="52"/>
      <c r="C23" s="52"/>
      <c r="D23" s="35" t="s">
        <v>138</v>
      </c>
      <c r="E23" s="53"/>
    </row>
    <row r="24" spans="1:5" ht="28.8" x14ac:dyDescent="0.3">
      <c r="A24" s="50"/>
      <c r="B24" s="52"/>
      <c r="C24" s="52"/>
      <c r="D24" s="35" t="s">
        <v>139</v>
      </c>
      <c r="E24" s="53"/>
    </row>
    <row r="25" spans="1:5" ht="14.4" x14ac:dyDescent="0.3">
      <c r="A25" s="50"/>
      <c r="B25" s="52" t="s">
        <v>140</v>
      </c>
      <c r="C25" s="52" t="s">
        <v>141</v>
      </c>
      <c r="D25" s="35" t="s">
        <v>142</v>
      </c>
      <c r="E25" s="54" t="s">
        <v>143</v>
      </c>
    </row>
    <row r="26" spans="1:5" ht="14.4" x14ac:dyDescent="0.3">
      <c r="A26" s="50"/>
      <c r="B26" s="52"/>
      <c r="C26" s="52"/>
      <c r="D26" s="35" t="s">
        <v>144</v>
      </c>
      <c r="E26" s="54"/>
    </row>
    <row r="27" spans="1:5" ht="28.8" x14ac:dyDescent="0.3">
      <c r="A27" s="50"/>
      <c r="B27" s="52"/>
      <c r="C27" s="52"/>
      <c r="D27" s="35" t="s">
        <v>145</v>
      </c>
      <c r="E27" s="54"/>
    </row>
    <row r="28" spans="1:5" ht="14.4" x14ac:dyDescent="0.3">
      <c r="A28" s="50"/>
      <c r="B28" s="53" t="s">
        <v>146</v>
      </c>
      <c r="C28" s="53" t="s">
        <v>147</v>
      </c>
      <c r="D28" s="36" t="s">
        <v>148</v>
      </c>
      <c r="E28" s="37" t="s">
        <v>149</v>
      </c>
    </row>
    <row r="29" spans="1:5" ht="14.4" x14ac:dyDescent="0.3">
      <c r="A29" s="50"/>
      <c r="B29" s="53"/>
      <c r="C29" s="53"/>
      <c r="D29" s="36" t="s">
        <v>150</v>
      </c>
      <c r="E29" s="37" t="s">
        <v>151</v>
      </c>
    </row>
    <row r="30" spans="1:5" ht="14.4" x14ac:dyDescent="0.3">
      <c r="A30" s="50"/>
      <c r="B30" s="53"/>
      <c r="C30" s="53"/>
      <c r="D30" s="36" t="s">
        <v>152</v>
      </c>
      <c r="E30" s="37" t="s">
        <v>153</v>
      </c>
    </row>
    <row r="31" spans="1:5" ht="14.4" x14ac:dyDescent="0.3">
      <c r="A31" s="50"/>
      <c r="B31" s="53"/>
      <c r="C31" s="53"/>
      <c r="D31" s="36" t="s">
        <v>154</v>
      </c>
      <c r="E31" s="37" t="s">
        <v>155</v>
      </c>
    </row>
    <row r="32" spans="1:5" ht="14.4" x14ac:dyDescent="0.3">
      <c r="A32" s="50"/>
      <c r="B32" s="52" t="s">
        <v>156</v>
      </c>
      <c r="C32" s="52" t="s">
        <v>157</v>
      </c>
      <c r="D32" s="35" t="s">
        <v>158</v>
      </c>
      <c r="E32" s="55" t="s">
        <v>159</v>
      </c>
    </row>
    <row r="33" spans="1:5" ht="14.4" x14ac:dyDescent="0.3">
      <c r="A33" s="50"/>
      <c r="B33" s="52"/>
      <c r="C33" s="52"/>
      <c r="D33" s="35" t="s">
        <v>160</v>
      </c>
      <c r="E33" s="55"/>
    </row>
    <row r="34" spans="1:5" ht="28.8" x14ac:dyDescent="0.3">
      <c r="A34" s="50"/>
      <c r="B34" s="52"/>
      <c r="C34" s="52"/>
      <c r="D34" s="36" t="s">
        <v>161</v>
      </c>
      <c r="E34" s="55"/>
    </row>
    <row r="35" spans="1:5" ht="28.8" x14ac:dyDescent="0.3">
      <c r="A35" s="50"/>
      <c r="B35" s="52"/>
      <c r="C35" s="52"/>
      <c r="D35" s="35" t="s">
        <v>162</v>
      </c>
      <c r="E35" s="55"/>
    </row>
    <row r="36" spans="1:5" ht="28.8" x14ac:dyDescent="0.3">
      <c r="A36" s="50"/>
      <c r="B36" s="52"/>
      <c r="C36" s="52"/>
      <c r="D36" s="35" t="s">
        <v>163</v>
      </c>
      <c r="E36" s="55"/>
    </row>
    <row r="37" spans="1:5" ht="28.8" x14ac:dyDescent="0.3">
      <c r="A37" s="50"/>
      <c r="B37" s="52"/>
      <c r="C37" s="52"/>
      <c r="D37" s="35" t="s">
        <v>164</v>
      </c>
      <c r="E37" s="55"/>
    </row>
    <row r="41" spans="1:5" x14ac:dyDescent="0.3">
      <c r="B41">
        <f>COUNTA(B4:B37)</f>
        <v>7</v>
      </c>
      <c r="D41">
        <f t="shared" ref="D41" si="0">COUNTA(D4:D37)</f>
        <v>34</v>
      </c>
    </row>
  </sheetData>
  <mergeCells count="22">
    <mergeCell ref="E20:E24"/>
    <mergeCell ref="E25:E27"/>
    <mergeCell ref="E32:E37"/>
    <mergeCell ref="E4:E9"/>
    <mergeCell ref="E10:E14"/>
    <mergeCell ref="E15:E19"/>
    <mergeCell ref="A1:B1"/>
    <mergeCell ref="A4:A37"/>
    <mergeCell ref="B4:B9"/>
    <mergeCell ref="C4:C9"/>
    <mergeCell ref="B10:B14"/>
    <mergeCell ref="C10:C14"/>
    <mergeCell ref="B15:B19"/>
    <mergeCell ref="C15:C19"/>
    <mergeCell ref="B20:B24"/>
    <mergeCell ref="C20:C24"/>
    <mergeCell ref="B25:B27"/>
    <mergeCell ref="C25:C27"/>
    <mergeCell ref="B28:B31"/>
    <mergeCell ref="C28:C31"/>
    <mergeCell ref="B32:B37"/>
    <mergeCell ref="C32:C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9B13-4B4D-4C2D-A6DB-68275ACFCD53}">
  <dimension ref="A2:E28"/>
  <sheetViews>
    <sheetView topLeftCell="A3" zoomScale="80" zoomScaleNormal="80" workbookViewId="0">
      <selection activeCell="H17" sqref="H17"/>
    </sheetView>
  </sheetViews>
  <sheetFormatPr baseColWidth="10" defaultColWidth="11.5546875" defaultRowHeight="15" customHeight="1" x14ac:dyDescent="0.3"/>
  <cols>
    <col min="1" max="1" width="48.6640625" customWidth="1"/>
    <col min="2" max="2" width="24.44140625" bestFit="1" customWidth="1"/>
    <col min="3" max="3" width="31.6640625" customWidth="1"/>
    <col min="4" max="5" width="40.6640625" customWidth="1"/>
  </cols>
  <sheetData>
    <row r="2" spans="1:5" ht="23.4" x14ac:dyDescent="0.45">
      <c r="A2" s="47" t="s">
        <v>165</v>
      </c>
      <c r="B2" s="47"/>
      <c r="C2" s="11"/>
      <c r="D2" s="11"/>
      <c r="E2" s="11"/>
    </row>
    <row r="3" spans="1:5" ht="14.4" x14ac:dyDescent="0.3">
      <c r="A3" s="1"/>
      <c r="B3" s="1"/>
      <c r="C3" s="1"/>
      <c r="D3" s="1"/>
      <c r="E3" s="1"/>
    </row>
    <row r="4" spans="1:5" ht="21" x14ac:dyDescent="0.3">
      <c r="A4" s="2" t="s">
        <v>18</v>
      </c>
      <c r="B4" s="2" t="s">
        <v>19</v>
      </c>
      <c r="C4" s="2" t="s">
        <v>20</v>
      </c>
      <c r="D4" s="3" t="s">
        <v>21</v>
      </c>
      <c r="E4" s="3" t="s">
        <v>22</v>
      </c>
    </row>
    <row r="5" spans="1:5" ht="43.2" x14ac:dyDescent="0.3">
      <c r="A5" s="57" t="s">
        <v>166</v>
      </c>
      <c r="B5" s="45" t="s">
        <v>167</v>
      </c>
      <c r="C5" s="45" t="s">
        <v>168</v>
      </c>
      <c r="D5" s="28" t="s">
        <v>169</v>
      </c>
      <c r="E5" s="58" t="s">
        <v>170</v>
      </c>
    </row>
    <row r="6" spans="1:5" ht="43.2" x14ac:dyDescent="0.3">
      <c r="A6" s="57"/>
      <c r="B6" s="45"/>
      <c r="C6" s="45"/>
      <c r="D6" s="28" t="s">
        <v>171</v>
      </c>
      <c r="E6" s="58"/>
    </row>
    <row r="7" spans="1:5" ht="28.8" x14ac:dyDescent="0.3">
      <c r="A7" s="57"/>
      <c r="B7" s="45"/>
      <c r="C7" s="45"/>
      <c r="D7" s="28" t="s">
        <v>172</v>
      </c>
      <c r="E7" s="58"/>
    </row>
    <row r="8" spans="1:5" ht="43.2" x14ac:dyDescent="0.3">
      <c r="A8" s="57"/>
      <c r="B8" s="45"/>
      <c r="C8" s="45"/>
      <c r="D8" s="28" t="s">
        <v>173</v>
      </c>
      <c r="E8" s="58"/>
    </row>
    <row r="9" spans="1:5" ht="14.4" customHeight="1" x14ac:dyDescent="0.3">
      <c r="A9" s="57"/>
      <c r="B9" s="45" t="s">
        <v>174</v>
      </c>
      <c r="C9" s="45" t="s">
        <v>175</v>
      </c>
      <c r="D9" s="28" t="s">
        <v>176</v>
      </c>
      <c r="E9" s="58" t="s">
        <v>170</v>
      </c>
    </row>
    <row r="10" spans="1:5" ht="14.4" x14ac:dyDescent="0.3">
      <c r="A10" s="57"/>
      <c r="B10" s="45"/>
      <c r="C10" s="45"/>
      <c r="D10" s="28" t="s">
        <v>177</v>
      </c>
      <c r="E10" s="58"/>
    </row>
    <row r="11" spans="1:5" ht="14.4" x14ac:dyDescent="0.3">
      <c r="A11" s="57"/>
      <c r="B11" s="45"/>
      <c r="C11" s="45"/>
      <c r="D11" s="28" t="s">
        <v>178</v>
      </c>
      <c r="E11" s="58"/>
    </row>
    <row r="12" spans="1:5" ht="14.4" x14ac:dyDescent="0.3">
      <c r="A12" s="57"/>
      <c r="B12" s="45"/>
      <c r="C12" s="45"/>
      <c r="D12" s="28" t="s">
        <v>179</v>
      </c>
      <c r="E12" s="58"/>
    </row>
    <row r="13" spans="1:5" ht="14.4" customHeight="1" x14ac:dyDescent="0.3">
      <c r="A13" s="57"/>
      <c r="B13" s="45" t="s">
        <v>180</v>
      </c>
      <c r="C13" s="45" t="s">
        <v>181</v>
      </c>
      <c r="D13" s="28" t="s">
        <v>182</v>
      </c>
      <c r="E13" s="45" t="s">
        <v>170</v>
      </c>
    </row>
    <row r="14" spans="1:5" ht="28.8" x14ac:dyDescent="0.3">
      <c r="A14" s="57"/>
      <c r="B14" s="45"/>
      <c r="C14" s="45"/>
      <c r="D14" s="28" t="s">
        <v>183</v>
      </c>
      <c r="E14" s="45"/>
    </row>
    <row r="15" spans="1:5" ht="14.4" x14ac:dyDescent="0.3">
      <c r="A15" s="57"/>
      <c r="B15" s="45"/>
      <c r="C15" s="45"/>
      <c r="D15" s="28" t="s">
        <v>184</v>
      </c>
      <c r="E15" s="45"/>
    </row>
    <row r="16" spans="1:5" ht="14.4" x14ac:dyDescent="0.3">
      <c r="A16" s="57"/>
      <c r="B16" s="45"/>
      <c r="C16" s="45"/>
      <c r="D16" s="28" t="s">
        <v>185</v>
      </c>
      <c r="E16" s="45"/>
    </row>
    <row r="17" spans="1:5" ht="28.8" customHeight="1" x14ac:dyDescent="0.3">
      <c r="A17" s="57"/>
      <c r="B17" s="45" t="s">
        <v>186</v>
      </c>
      <c r="C17" s="45" t="s">
        <v>187</v>
      </c>
      <c r="D17" s="28" t="s">
        <v>188</v>
      </c>
      <c r="E17" s="58" t="s">
        <v>170</v>
      </c>
    </row>
    <row r="18" spans="1:5" ht="14.4" x14ac:dyDescent="0.3">
      <c r="A18" s="57"/>
      <c r="B18" s="45"/>
      <c r="C18" s="45"/>
      <c r="D18" s="28" t="s">
        <v>189</v>
      </c>
      <c r="E18" s="58"/>
    </row>
    <row r="19" spans="1:5" ht="14.4" x14ac:dyDescent="0.3">
      <c r="A19" s="57"/>
      <c r="B19" s="45"/>
      <c r="C19" s="45"/>
      <c r="D19" s="28" t="s">
        <v>190</v>
      </c>
      <c r="E19" s="58"/>
    </row>
    <row r="20" spans="1:5" ht="28.8" x14ac:dyDescent="0.3">
      <c r="A20" s="57"/>
      <c r="B20" s="45"/>
      <c r="C20" s="45"/>
      <c r="D20" s="28" t="s">
        <v>191</v>
      </c>
      <c r="E20" s="58"/>
    </row>
    <row r="21" spans="1:5" ht="14.4" customHeight="1" x14ac:dyDescent="0.3">
      <c r="A21" s="57"/>
      <c r="B21" s="45" t="s">
        <v>192</v>
      </c>
      <c r="C21" s="45" t="s">
        <v>193</v>
      </c>
      <c r="D21" s="28" t="s">
        <v>194</v>
      </c>
      <c r="E21" s="45" t="s">
        <v>170</v>
      </c>
    </row>
    <row r="22" spans="1:5" ht="14.4" x14ac:dyDescent="0.3">
      <c r="A22" s="57"/>
      <c r="B22" s="45"/>
      <c r="C22" s="45"/>
      <c r="D22" s="28" t="s">
        <v>195</v>
      </c>
      <c r="E22" s="45"/>
    </row>
    <row r="23" spans="1:5" ht="14.4" x14ac:dyDescent="0.3">
      <c r="A23" s="57"/>
      <c r="B23" s="45"/>
      <c r="C23" s="45"/>
      <c r="D23" s="28" t="s">
        <v>196</v>
      </c>
      <c r="E23" s="45"/>
    </row>
    <row r="24" spans="1:5" ht="15" customHeight="1" x14ac:dyDescent="0.3">
      <c r="A24" s="57"/>
      <c r="B24" s="45"/>
      <c r="C24" s="45"/>
      <c r="D24" s="28" t="s">
        <v>197</v>
      </c>
      <c r="E24" s="45"/>
    </row>
    <row r="28" spans="1:5" ht="14.4" x14ac:dyDescent="0.3">
      <c r="B28">
        <f>COUNTA(B5:B24)</f>
        <v>5</v>
      </c>
      <c r="D28">
        <f t="shared" ref="D28" si="0">COUNTA(D5:D24)</f>
        <v>20</v>
      </c>
    </row>
  </sheetData>
  <mergeCells count="17">
    <mergeCell ref="E21:E24"/>
    <mergeCell ref="E5:E8"/>
    <mergeCell ref="E9:E12"/>
    <mergeCell ref="E13:E16"/>
    <mergeCell ref="E17:E20"/>
    <mergeCell ref="B21:B24"/>
    <mergeCell ref="C21:C24"/>
    <mergeCell ref="A2:B2"/>
    <mergeCell ref="A5:A24"/>
    <mergeCell ref="B5:B8"/>
    <mergeCell ref="C5:C8"/>
    <mergeCell ref="B9:B12"/>
    <mergeCell ref="C9:C12"/>
    <mergeCell ref="B13:B16"/>
    <mergeCell ref="C13:C16"/>
    <mergeCell ref="B17:B20"/>
    <mergeCell ref="C17: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7135-07FD-4A07-85F5-0FCEF2C4A74C}">
  <dimension ref="A2:E40"/>
  <sheetViews>
    <sheetView zoomScale="70" zoomScaleNormal="70" workbookViewId="0">
      <selection activeCell="A4" sqref="A4:E36"/>
    </sheetView>
  </sheetViews>
  <sheetFormatPr baseColWidth="10" defaultColWidth="25.44140625" defaultRowHeight="15" customHeight="1" x14ac:dyDescent="0.3"/>
  <cols>
    <col min="1" max="1" width="62" customWidth="1"/>
    <col min="2" max="2" width="24.6640625" bestFit="1" customWidth="1"/>
    <col min="3" max="3" width="28.109375" bestFit="1" customWidth="1"/>
    <col min="4" max="4" width="52.109375" customWidth="1"/>
    <col min="5" max="5" width="37.33203125" customWidth="1"/>
  </cols>
  <sheetData>
    <row r="2" spans="1:5" ht="23.4" x14ac:dyDescent="0.45">
      <c r="A2" s="47" t="s">
        <v>198</v>
      </c>
      <c r="B2" s="47"/>
      <c r="C2" s="11"/>
      <c r="D2" s="1"/>
      <c r="E2" s="1"/>
    </row>
    <row r="3" spans="1:5" ht="42" x14ac:dyDescent="0.3">
      <c r="A3" s="2" t="s">
        <v>18</v>
      </c>
      <c r="B3" s="2" t="s">
        <v>19</v>
      </c>
      <c r="C3" s="2" t="s">
        <v>20</v>
      </c>
      <c r="D3" s="3" t="s">
        <v>21</v>
      </c>
      <c r="E3" s="3" t="s">
        <v>22</v>
      </c>
    </row>
    <row r="4" spans="1:5" ht="15.6" x14ac:dyDescent="0.3">
      <c r="A4" s="61" t="s">
        <v>199</v>
      </c>
      <c r="B4" s="62" t="s">
        <v>200</v>
      </c>
      <c r="C4" s="60" t="s">
        <v>201</v>
      </c>
      <c r="D4" s="33" t="s">
        <v>202</v>
      </c>
      <c r="E4" s="59" t="s">
        <v>203</v>
      </c>
    </row>
    <row r="5" spans="1:5" ht="15.6" x14ac:dyDescent="0.3">
      <c r="A5" s="61"/>
      <c r="B5" s="62"/>
      <c r="C5" s="60"/>
      <c r="D5" s="33" t="s">
        <v>204</v>
      </c>
      <c r="E5" s="59"/>
    </row>
    <row r="6" spans="1:5" ht="15.6" x14ac:dyDescent="0.3">
      <c r="A6" s="61"/>
      <c r="B6" s="62"/>
      <c r="C6" s="60"/>
      <c r="D6" s="33" t="s">
        <v>205</v>
      </c>
      <c r="E6" s="59"/>
    </row>
    <row r="7" spans="1:5" ht="15.6" x14ac:dyDescent="0.3">
      <c r="A7" s="61"/>
      <c r="B7" s="62"/>
      <c r="C7" s="60"/>
      <c r="D7" s="33" t="s">
        <v>206</v>
      </c>
      <c r="E7" s="59"/>
    </row>
    <row r="8" spans="1:5" ht="31.2" x14ac:dyDescent="0.3">
      <c r="A8" s="61"/>
      <c r="B8" s="60" t="s">
        <v>207</v>
      </c>
      <c r="C8" s="60" t="s">
        <v>208</v>
      </c>
      <c r="D8" s="33" t="s">
        <v>209</v>
      </c>
      <c r="E8" s="60" t="s">
        <v>210</v>
      </c>
    </row>
    <row r="9" spans="1:5" ht="15.6" x14ac:dyDescent="0.3">
      <c r="A9" s="61"/>
      <c r="B9" s="60"/>
      <c r="C9" s="60"/>
      <c r="D9" s="33" t="s">
        <v>211</v>
      </c>
      <c r="E9" s="60"/>
    </row>
    <row r="10" spans="1:5" ht="15.6" x14ac:dyDescent="0.3">
      <c r="A10" s="61"/>
      <c r="B10" s="60"/>
      <c r="C10" s="60"/>
      <c r="D10" s="33" t="s">
        <v>212</v>
      </c>
      <c r="E10" s="60"/>
    </row>
    <row r="11" spans="1:5" ht="15.6" x14ac:dyDescent="0.3">
      <c r="A11" s="61"/>
      <c r="B11" s="60"/>
      <c r="C11" s="60"/>
      <c r="D11" s="33" t="s">
        <v>213</v>
      </c>
      <c r="E11" s="60"/>
    </row>
    <row r="12" spans="1:5" ht="15.6" x14ac:dyDescent="0.3">
      <c r="A12" s="61"/>
      <c r="B12" s="60"/>
      <c r="C12" s="60"/>
      <c r="D12" s="33" t="s">
        <v>214</v>
      </c>
      <c r="E12" s="60"/>
    </row>
    <row r="13" spans="1:5" ht="15.6" x14ac:dyDescent="0.3">
      <c r="A13" s="61"/>
      <c r="B13" s="60"/>
      <c r="C13" s="60"/>
      <c r="D13" s="33" t="s">
        <v>215</v>
      </c>
      <c r="E13" s="60"/>
    </row>
    <row r="14" spans="1:5" ht="15.6" x14ac:dyDescent="0.3">
      <c r="A14" s="61"/>
      <c r="B14" s="60" t="s">
        <v>216</v>
      </c>
      <c r="C14" s="60" t="s">
        <v>217</v>
      </c>
      <c r="D14" s="33" t="s">
        <v>218</v>
      </c>
      <c r="E14" s="59" t="s">
        <v>219</v>
      </c>
    </row>
    <row r="15" spans="1:5" ht="15.6" x14ac:dyDescent="0.3">
      <c r="A15" s="61"/>
      <c r="B15" s="60"/>
      <c r="C15" s="60"/>
      <c r="D15" s="33" t="s">
        <v>220</v>
      </c>
      <c r="E15" s="59"/>
    </row>
    <row r="16" spans="1:5" ht="15.6" x14ac:dyDescent="0.3">
      <c r="A16" s="61"/>
      <c r="B16" s="60"/>
      <c r="C16" s="60"/>
      <c r="D16" s="33" t="s">
        <v>221</v>
      </c>
      <c r="E16" s="59"/>
    </row>
    <row r="17" spans="1:5" ht="15.6" x14ac:dyDescent="0.3">
      <c r="A17" s="61"/>
      <c r="B17" s="60"/>
      <c r="C17" s="60"/>
      <c r="D17" s="33" t="s">
        <v>222</v>
      </c>
      <c r="E17" s="59"/>
    </row>
    <row r="18" spans="1:5" ht="15.6" x14ac:dyDescent="0.3">
      <c r="A18" s="61"/>
      <c r="B18" s="60"/>
      <c r="C18" s="60"/>
      <c r="D18" s="33" t="s">
        <v>223</v>
      </c>
      <c r="E18" s="59"/>
    </row>
    <row r="19" spans="1:5" ht="15.6" x14ac:dyDescent="0.3">
      <c r="A19" s="61"/>
      <c r="B19" s="60" t="s">
        <v>224</v>
      </c>
      <c r="C19" s="60" t="s">
        <v>225</v>
      </c>
      <c r="D19" s="33" t="s">
        <v>226</v>
      </c>
      <c r="E19" s="60" t="s">
        <v>227</v>
      </c>
    </row>
    <row r="20" spans="1:5" ht="15.6" x14ac:dyDescent="0.3">
      <c r="A20" s="61"/>
      <c r="B20" s="60"/>
      <c r="C20" s="60"/>
      <c r="D20" s="33" t="s">
        <v>228</v>
      </c>
      <c r="E20" s="60"/>
    </row>
    <row r="21" spans="1:5" ht="15.6" x14ac:dyDescent="0.3">
      <c r="A21" s="61"/>
      <c r="B21" s="60"/>
      <c r="C21" s="60"/>
      <c r="D21" s="33" t="s">
        <v>229</v>
      </c>
      <c r="E21" s="60"/>
    </row>
    <row r="22" spans="1:5" ht="15.6" x14ac:dyDescent="0.3">
      <c r="A22" s="61"/>
      <c r="B22" s="60"/>
      <c r="C22" s="60"/>
      <c r="D22" s="33" t="s">
        <v>230</v>
      </c>
      <c r="E22" s="60"/>
    </row>
    <row r="23" spans="1:5" ht="15.6" x14ac:dyDescent="0.3">
      <c r="A23" s="61"/>
      <c r="B23" s="60"/>
      <c r="C23" s="60"/>
      <c r="D23" s="33" t="s">
        <v>231</v>
      </c>
      <c r="E23" s="60"/>
    </row>
    <row r="24" spans="1:5" ht="15.6" x14ac:dyDescent="0.3">
      <c r="A24" s="61"/>
      <c r="B24" s="60"/>
      <c r="C24" s="60"/>
      <c r="D24" s="33" t="s">
        <v>232</v>
      </c>
      <c r="E24" s="60"/>
    </row>
    <row r="25" spans="1:5" ht="15.6" x14ac:dyDescent="0.3">
      <c r="A25" s="61"/>
      <c r="B25" s="60"/>
      <c r="C25" s="60"/>
      <c r="D25" s="33" t="s">
        <v>233</v>
      </c>
      <c r="E25" s="60"/>
    </row>
    <row r="26" spans="1:5" ht="15.6" x14ac:dyDescent="0.3">
      <c r="A26" s="61"/>
      <c r="B26" s="60"/>
      <c r="C26" s="60"/>
      <c r="D26" s="32" t="s">
        <v>234</v>
      </c>
      <c r="E26" s="60"/>
    </row>
    <row r="27" spans="1:5" ht="15.6" x14ac:dyDescent="0.3">
      <c r="A27" s="61"/>
      <c r="B27" s="60"/>
      <c r="C27" s="60"/>
      <c r="D27" s="33" t="s">
        <v>235</v>
      </c>
      <c r="E27" s="60"/>
    </row>
    <row r="28" spans="1:5" ht="15.6" x14ac:dyDescent="0.3">
      <c r="A28" s="61"/>
      <c r="B28" s="60" t="s">
        <v>236</v>
      </c>
      <c r="C28" s="60" t="s">
        <v>237</v>
      </c>
      <c r="D28" s="33" t="s">
        <v>238</v>
      </c>
      <c r="E28" s="60" t="s">
        <v>227</v>
      </c>
    </row>
    <row r="29" spans="1:5" ht="15.6" x14ac:dyDescent="0.3">
      <c r="A29" s="61"/>
      <c r="B29" s="60"/>
      <c r="C29" s="60"/>
      <c r="D29" s="33" t="s">
        <v>239</v>
      </c>
      <c r="E29" s="60"/>
    </row>
    <row r="30" spans="1:5" ht="15.6" x14ac:dyDescent="0.3">
      <c r="A30" s="61"/>
      <c r="B30" s="60"/>
      <c r="C30" s="60"/>
      <c r="D30" s="33" t="s">
        <v>240</v>
      </c>
      <c r="E30" s="60"/>
    </row>
    <row r="31" spans="1:5" ht="15.6" x14ac:dyDescent="0.3">
      <c r="A31" s="61"/>
      <c r="B31" s="60"/>
      <c r="C31" s="60"/>
      <c r="D31" s="33" t="s">
        <v>241</v>
      </c>
      <c r="E31" s="60"/>
    </row>
    <row r="32" spans="1:5" ht="15.6" x14ac:dyDescent="0.3">
      <c r="A32" s="61"/>
      <c r="B32" s="60" t="s">
        <v>242</v>
      </c>
      <c r="C32" s="60" t="s">
        <v>243</v>
      </c>
      <c r="D32" s="33" t="s">
        <v>244</v>
      </c>
      <c r="E32" s="59" t="s">
        <v>245</v>
      </c>
    </row>
    <row r="33" spans="1:5" ht="31.2" x14ac:dyDescent="0.3">
      <c r="A33" s="61"/>
      <c r="B33" s="60"/>
      <c r="C33" s="60"/>
      <c r="D33" s="33" t="s">
        <v>246</v>
      </c>
      <c r="E33" s="59"/>
    </row>
    <row r="34" spans="1:5" ht="15.6" x14ac:dyDescent="0.3">
      <c r="A34" s="61"/>
      <c r="B34" s="60"/>
      <c r="C34" s="60"/>
      <c r="D34" s="33" t="s">
        <v>247</v>
      </c>
      <c r="E34" s="59"/>
    </row>
    <row r="35" spans="1:5" ht="15.6" x14ac:dyDescent="0.3">
      <c r="A35" s="61"/>
      <c r="B35" s="60"/>
      <c r="C35" s="60"/>
      <c r="D35" s="33" t="s">
        <v>248</v>
      </c>
      <c r="E35" s="59"/>
    </row>
    <row r="36" spans="1:5" ht="15" customHeight="1" x14ac:dyDescent="0.3">
      <c r="A36" s="61"/>
      <c r="B36" s="60"/>
      <c r="C36" s="60"/>
      <c r="D36" s="33" t="s">
        <v>249</v>
      </c>
      <c r="E36" s="59"/>
    </row>
    <row r="40" spans="1:5" ht="14.4" x14ac:dyDescent="0.3">
      <c r="B40">
        <f>COUNTA(B4:B36)</f>
        <v>6</v>
      </c>
      <c r="D40">
        <f>COUNTA(D4:D36)</f>
        <v>33</v>
      </c>
    </row>
  </sheetData>
  <mergeCells count="20">
    <mergeCell ref="B28:B31"/>
    <mergeCell ref="C28:C31"/>
    <mergeCell ref="E19:E27"/>
    <mergeCell ref="E28:E31"/>
    <mergeCell ref="E4:E7"/>
    <mergeCell ref="E8:E13"/>
    <mergeCell ref="E14:E18"/>
    <mergeCell ref="A2:B2"/>
    <mergeCell ref="A4:A36"/>
    <mergeCell ref="B4:B7"/>
    <mergeCell ref="C4:C7"/>
    <mergeCell ref="B8:B13"/>
    <mergeCell ref="C8:C13"/>
    <mergeCell ref="B14:B18"/>
    <mergeCell ref="C14:C18"/>
    <mergeCell ref="B32:B36"/>
    <mergeCell ref="C32:C36"/>
    <mergeCell ref="B19:B27"/>
    <mergeCell ref="C19:C27"/>
    <mergeCell ref="E32:E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1898-95D3-49DB-8E0B-74A06C0283EC}">
  <dimension ref="A2:ADB39"/>
  <sheetViews>
    <sheetView zoomScale="70" zoomScaleNormal="70" workbookViewId="0">
      <selection sqref="A1:XFD1048576"/>
    </sheetView>
  </sheetViews>
  <sheetFormatPr baseColWidth="10" defaultColWidth="51.6640625" defaultRowHeight="15" customHeight="1" x14ac:dyDescent="0.3"/>
  <cols>
    <col min="1" max="1" width="51.88671875" customWidth="1"/>
    <col min="2" max="2" width="54" customWidth="1"/>
    <col min="3" max="3" width="48.33203125" customWidth="1"/>
    <col min="4" max="4" width="102.6640625" bestFit="1" customWidth="1"/>
    <col min="5" max="5" width="102.6640625" customWidth="1"/>
  </cols>
  <sheetData>
    <row r="2" spans="1:782" ht="23.4" x14ac:dyDescent="0.45">
      <c r="A2" s="47" t="s">
        <v>250</v>
      </c>
      <c r="B2" s="47"/>
      <c r="C2" s="1" t="s">
        <v>17</v>
      </c>
      <c r="D2" s="1"/>
      <c r="E2" s="1"/>
    </row>
    <row r="3" spans="1:782" ht="14.4" x14ac:dyDescent="0.3">
      <c r="A3" s="1"/>
      <c r="B3" s="1"/>
      <c r="C3" s="1"/>
      <c r="D3" s="1"/>
      <c r="E3" s="1"/>
    </row>
    <row r="4" spans="1:782" s="14" customFormat="1" ht="21.6" thickBot="1" x14ac:dyDescent="0.35">
      <c r="A4" s="12" t="s">
        <v>18</v>
      </c>
      <c r="B4" s="12" t="s">
        <v>19</v>
      </c>
      <c r="C4" s="12" t="s">
        <v>20</v>
      </c>
      <c r="D4" s="13" t="s">
        <v>21</v>
      </c>
      <c r="E4" s="24" t="s">
        <v>22</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row>
    <row r="5" spans="1:782" s="14" customFormat="1" ht="28.8" customHeight="1" x14ac:dyDescent="0.3">
      <c r="A5" s="72" t="s">
        <v>251</v>
      </c>
      <c r="B5" s="76" t="s">
        <v>252</v>
      </c>
      <c r="C5" s="76" t="s">
        <v>253</v>
      </c>
      <c r="D5" s="18" t="s">
        <v>254</v>
      </c>
      <c r="E5" s="63" t="s">
        <v>255</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row>
    <row r="6" spans="1:782" s="14" customFormat="1" ht="14.4" x14ac:dyDescent="0.3">
      <c r="A6" s="73"/>
      <c r="B6" s="77"/>
      <c r="C6" s="77"/>
      <c r="D6" s="16" t="s">
        <v>256</v>
      </c>
      <c r="E6" s="64"/>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row>
    <row r="7" spans="1:782" s="14" customFormat="1" ht="14.4" x14ac:dyDescent="0.3">
      <c r="A7" s="73"/>
      <c r="B7" s="77"/>
      <c r="C7" s="77"/>
      <c r="D7" s="16" t="s">
        <v>257</v>
      </c>
      <c r="E7" s="64"/>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row>
    <row r="8" spans="1:782" s="14" customFormat="1" thickBot="1" x14ac:dyDescent="0.35">
      <c r="A8" s="73"/>
      <c r="B8" s="78"/>
      <c r="C8" s="78"/>
      <c r="D8" s="17" t="s">
        <v>258</v>
      </c>
      <c r="E8" s="65"/>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row>
    <row r="9" spans="1:782" s="14" customFormat="1" ht="14.4" x14ac:dyDescent="0.3">
      <c r="A9" s="73"/>
      <c r="B9" s="79" t="s">
        <v>259</v>
      </c>
      <c r="C9" s="77" t="s">
        <v>260</v>
      </c>
      <c r="D9" s="16" t="s">
        <v>261</v>
      </c>
      <c r="E9" s="63" t="s">
        <v>255</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row>
    <row r="10" spans="1:782" s="14" customFormat="1" ht="28.8" customHeight="1" x14ac:dyDescent="0.3">
      <c r="A10" s="73"/>
      <c r="B10" s="79"/>
      <c r="C10" s="77"/>
      <c r="D10" s="16" t="s">
        <v>262</v>
      </c>
      <c r="E10" s="64"/>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row>
    <row r="11" spans="1:782" s="14" customFormat="1" ht="14.4" x14ac:dyDescent="0.3">
      <c r="A11" s="73"/>
      <c r="B11" s="79"/>
      <c r="C11" s="77"/>
      <c r="D11" s="16" t="s">
        <v>263</v>
      </c>
      <c r="E11" s="64"/>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row>
    <row r="12" spans="1:782" s="14" customFormat="1" ht="14.4" x14ac:dyDescent="0.3">
      <c r="A12" s="73"/>
      <c r="B12" s="79"/>
      <c r="C12" s="77"/>
      <c r="D12" s="16" t="s">
        <v>264</v>
      </c>
      <c r="E12" s="64"/>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row>
    <row r="13" spans="1:782" s="14" customFormat="1" thickBot="1" x14ac:dyDescent="0.35">
      <c r="A13" s="73"/>
      <c r="B13" s="79"/>
      <c r="C13" s="77"/>
      <c r="D13" s="16" t="s">
        <v>265</v>
      </c>
      <c r="E13" s="65"/>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row>
    <row r="14" spans="1:782" s="14" customFormat="1" ht="14.4" customHeight="1" x14ac:dyDescent="0.3">
      <c r="A14" s="74"/>
      <c r="B14" s="66" t="s">
        <v>633</v>
      </c>
      <c r="C14" s="69" t="s">
        <v>634</v>
      </c>
      <c r="D14" s="18" t="s">
        <v>638</v>
      </c>
      <c r="E14" s="63" t="s">
        <v>255</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row>
    <row r="15" spans="1:782" s="14" customFormat="1" ht="14.4" x14ac:dyDescent="0.3">
      <c r="A15" s="74"/>
      <c r="B15" s="67"/>
      <c r="C15" s="70"/>
      <c r="D15" s="16" t="s">
        <v>635</v>
      </c>
      <c r="E15" s="64"/>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row>
    <row r="16" spans="1:782" s="14" customFormat="1" ht="14.4" x14ac:dyDescent="0.3">
      <c r="A16" s="74"/>
      <c r="B16" s="67"/>
      <c r="C16" s="70"/>
      <c r="D16" s="16" t="s">
        <v>636</v>
      </c>
      <c r="E16" s="64"/>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row>
    <row r="17" spans="1:782" s="14" customFormat="1" thickBot="1" x14ac:dyDescent="0.35">
      <c r="A17" s="74"/>
      <c r="B17" s="68"/>
      <c r="C17" s="71"/>
      <c r="D17" s="17" t="s">
        <v>637</v>
      </c>
      <c r="E17" s="65"/>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row>
    <row r="18" spans="1:782" s="14" customFormat="1" ht="14.4" customHeight="1" x14ac:dyDescent="0.3">
      <c r="A18" s="73"/>
      <c r="B18" s="77" t="s">
        <v>266</v>
      </c>
      <c r="C18" s="77" t="s">
        <v>267</v>
      </c>
      <c r="D18" s="16" t="s">
        <v>268</v>
      </c>
      <c r="E18" s="63" t="s">
        <v>255</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row>
    <row r="19" spans="1:782" s="14" customFormat="1" ht="14.4" x14ac:dyDescent="0.3">
      <c r="A19" s="73"/>
      <c r="B19" s="77"/>
      <c r="C19" s="77"/>
      <c r="D19" s="16" t="s">
        <v>269</v>
      </c>
      <c r="E19" s="64"/>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row>
    <row r="20" spans="1:782" s="14" customFormat="1" ht="14.4" x14ac:dyDescent="0.3">
      <c r="A20" s="73"/>
      <c r="B20" s="77"/>
      <c r="C20" s="77"/>
      <c r="D20" s="16" t="s">
        <v>270</v>
      </c>
      <c r="E20" s="64"/>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row>
    <row r="21" spans="1:782" s="14" customFormat="1" thickBot="1" x14ac:dyDescent="0.35">
      <c r="A21" s="73"/>
      <c r="B21" s="78"/>
      <c r="C21" s="78"/>
      <c r="D21" s="17" t="s">
        <v>271</v>
      </c>
      <c r="E21" s="65"/>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row>
    <row r="22" spans="1:782" s="14" customFormat="1" ht="14.4" customHeight="1" x14ac:dyDescent="0.3">
      <c r="A22" s="73"/>
      <c r="B22" s="79" t="s">
        <v>272</v>
      </c>
      <c r="C22" s="77" t="s">
        <v>273</v>
      </c>
      <c r="D22" s="16" t="s">
        <v>274</v>
      </c>
      <c r="E22" s="63" t="s">
        <v>255</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row>
    <row r="23" spans="1:782" s="14" customFormat="1" ht="14.4" x14ac:dyDescent="0.3">
      <c r="A23" s="73"/>
      <c r="B23" s="79"/>
      <c r="C23" s="77"/>
      <c r="D23" s="16" t="s">
        <v>275</v>
      </c>
      <c r="E23" s="64"/>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row>
    <row r="24" spans="1:782" s="14" customFormat="1" ht="14.4" x14ac:dyDescent="0.3">
      <c r="A24" s="73"/>
      <c r="B24" s="79"/>
      <c r="C24" s="77"/>
      <c r="D24" s="16" t="s">
        <v>276</v>
      </c>
      <c r="E24" s="6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row>
    <row r="25" spans="1:782" s="14" customFormat="1" thickBot="1" x14ac:dyDescent="0.35">
      <c r="A25" s="73"/>
      <c r="B25" s="79"/>
      <c r="C25" s="77"/>
      <c r="D25" s="16" t="s">
        <v>277</v>
      </c>
      <c r="E25" s="6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row>
    <row r="26" spans="1:782" s="14" customFormat="1" ht="28.8" customHeight="1" x14ac:dyDescent="0.3">
      <c r="A26" s="73"/>
      <c r="B26" s="76" t="s">
        <v>278</v>
      </c>
      <c r="C26" s="76" t="s">
        <v>279</v>
      </c>
      <c r="D26" s="18" t="s">
        <v>280</v>
      </c>
      <c r="E26" s="63" t="s">
        <v>255</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row>
    <row r="27" spans="1:782" s="14" customFormat="1" ht="14.4" x14ac:dyDescent="0.3">
      <c r="A27" s="73"/>
      <c r="B27" s="77"/>
      <c r="C27" s="77"/>
      <c r="D27" s="16" t="s">
        <v>281</v>
      </c>
      <c r="E27" s="64"/>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row>
    <row r="28" spans="1:782" s="14" customFormat="1" ht="14.4" x14ac:dyDescent="0.3">
      <c r="A28" s="73"/>
      <c r="B28" s="77"/>
      <c r="C28" s="77"/>
      <c r="D28" s="16" t="s">
        <v>282</v>
      </c>
      <c r="E28" s="64"/>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row>
    <row r="29" spans="1:782" s="14" customFormat="1" thickBot="1" x14ac:dyDescent="0.35">
      <c r="A29" s="73"/>
      <c r="B29" s="78"/>
      <c r="C29" s="78"/>
      <c r="D29" s="17" t="s">
        <v>283</v>
      </c>
      <c r="E29" s="65"/>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row>
    <row r="30" spans="1:782" s="14" customFormat="1" ht="14.4" customHeight="1" x14ac:dyDescent="0.3">
      <c r="A30" s="73"/>
      <c r="B30" s="79" t="s">
        <v>284</v>
      </c>
      <c r="C30" s="77" t="s">
        <v>285</v>
      </c>
      <c r="D30" s="16" t="s">
        <v>286</v>
      </c>
      <c r="E30" s="80" t="s">
        <v>255</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row>
    <row r="31" spans="1:782" s="14" customFormat="1" ht="14.4" x14ac:dyDescent="0.3">
      <c r="A31" s="73"/>
      <c r="B31" s="79"/>
      <c r="C31" s="77"/>
      <c r="D31" s="16" t="s">
        <v>287</v>
      </c>
      <c r="E31" s="8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row>
    <row r="32" spans="1:782" s="14" customFormat="1" ht="14.4" x14ac:dyDescent="0.3">
      <c r="A32" s="73"/>
      <c r="B32" s="79"/>
      <c r="C32" s="77"/>
      <c r="D32" s="16" t="s">
        <v>288</v>
      </c>
      <c r="E32" s="81"/>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row>
    <row r="33" spans="1:782" s="14" customFormat="1" thickBot="1" x14ac:dyDescent="0.35">
      <c r="A33" s="73"/>
      <c r="B33" s="79"/>
      <c r="C33" s="77"/>
      <c r="D33" s="16" t="s">
        <v>289</v>
      </c>
      <c r="E33" s="8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row>
    <row r="34" spans="1:782" s="14" customFormat="1" ht="14.4" x14ac:dyDescent="0.3">
      <c r="A34" s="73"/>
      <c r="B34" s="76" t="s">
        <v>290</v>
      </c>
      <c r="C34" s="76" t="s">
        <v>291</v>
      </c>
      <c r="D34" s="18" t="s">
        <v>292</v>
      </c>
      <c r="E34" s="63" t="s">
        <v>255</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row>
    <row r="35" spans="1:782" s="14" customFormat="1" ht="14.4" x14ac:dyDescent="0.3">
      <c r="A35" s="73"/>
      <c r="B35" s="77"/>
      <c r="C35" s="77"/>
      <c r="D35" s="16" t="s">
        <v>293</v>
      </c>
      <c r="E35" s="64"/>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row>
    <row r="36" spans="1:782" s="14" customFormat="1" ht="14.4" x14ac:dyDescent="0.3">
      <c r="A36" s="73"/>
      <c r="B36" s="77"/>
      <c r="C36" s="77"/>
      <c r="D36" s="16" t="s">
        <v>294</v>
      </c>
      <c r="E36" s="64"/>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row>
    <row r="37" spans="1:782" s="14" customFormat="1" thickBot="1" x14ac:dyDescent="0.35">
      <c r="A37" s="75"/>
      <c r="B37" s="78"/>
      <c r="C37" s="78"/>
      <c r="D37" s="17" t="s">
        <v>295</v>
      </c>
      <c r="E37" s="65"/>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row>
    <row r="39" spans="1:782" ht="15" customHeight="1" x14ac:dyDescent="0.3">
      <c r="B39">
        <f>COUNTA(B5:B37)</f>
        <v>8</v>
      </c>
      <c r="D39">
        <f>COUNTA(D5:D37)</f>
        <v>33</v>
      </c>
    </row>
  </sheetData>
  <mergeCells count="26">
    <mergeCell ref="E5:E8"/>
    <mergeCell ref="E9:E13"/>
    <mergeCell ref="E14:E17"/>
    <mergeCell ref="E18:E21"/>
    <mergeCell ref="C26:C29"/>
    <mergeCell ref="B30:B33"/>
    <mergeCell ref="C30:C33"/>
    <mergeCell ref="E22:E25"/>
    <mergeCell ref="E26:E29"/>
    <mergeCell ref="E30:E33"/>
    <mergeCell ref="E34:E37"/>
    <mergeCell ref="B14:B17"/>
    <mergeCell ref="C14:C17"/>
    <mergeCell ref="A2:B2"/>
    <mergeCell ref="A5:A37"/>
    <mergeCell ref="B5:B8"/>
    <mergeCell ref="C5:C8"/>
    <mergeCell ref="B18:B21"/>
    <mergeCell ref="C18:C21"/>
    <mergeCell ref="B34:B37"/>
    <mergeCell ref="C34:C37"/>
    <mergeCell ref="B22:B25"/>
    <mergeCell ref="C22:C25"/>
    <mergeCell ref="B9:B13"/>
    <mergeCell ref="C9:C13"/>
    <mergeCell ref="B26:B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CF00D-D427-4A19-AD2B-83213A27DA2E}">
  <dimension ref="A2:E43"/>
  <sheetViews>
    <sheetView topLeftCell="A3" zoomScale="70" zoomScaleNormal="70" workbookViewId="0">
      <selection activeCell="F23" sqref="F23"/>
    </sheetView>
  </sheetViews>
  <sheetFormatPr baseColWidth="10" defaultColWidth="51.6640625" defaultRowHeight="15" customHeight="1" x14ac:dyDescent="0.3"/>
  <cols>
    <col min="2" max="2" width="34.109375" customWidth="1"/>
    <col min="5" max="5" width="42.5546875" customWidth="1"/>
  </cols>
  <sheetData>
    <row r="2" spans="1:5" ht="23.4" x14ac:dyDescent="0.45">
      <c r="A2" s="47" t="s">
        <v>296</v>
      </c>
      <c r="B2" s="47"/>
      <c r="C2" s="1" t="s">
        <v>17</v>
      </c>
      <c r="D2" s="1"/>
      <c r="E2" s="1"/>
    </row>
    <row r="3" spans="1:5" ht="14.4" x14ac:dyDescent="0.3">
      <c r="A3" s="1"/>
      <c r="B3" s="1"/>
      <c r="C3" s="1"/>
      <c r="D3" s="1"/>
      <c r="E3" s="1"/>
    </row>
    <row r="4" spans="1:5" ht="21" x14ac:dyDescent="0.3">
      <c r="A4" s="2" t="s">
        <v>18</v>
      </c>
      <c r="B4" s="2" t="s">
        <v>19</v>
      </c>
      <c r="C4" s="2" t="s">
        <v>20</v>
      </c>
      <c r="D4" s="3" t="s">
        <v>21</v>
      </c>
      <c r="E4" s="3" t="s">
        <v>22</v>
      </c>
    </row>
    <row r="5" spans="1:5" ht="14.4" customHeight="1" x14ac:dyDescent="0.3">
      <c r="A5" s="52" t="s">
        <v>297</v>
      </c>
      <c r="B5" s="45" t="s">
        <v>298</v>
      </c>
      <c r="C5" s="45" t="s">
        <v>299</v>
      </c>
      <c r="D5" s="14" t="s">
        <v>300</v>
      </c>
      <c r="E5" s="45" t="s">
        <v>662</v>
      </c>
    </row>
    <row r="6" spans="1:5" ht="14.4" x14ac:dyDescent="0.3">
      <c r="A6" s="52"/>
      <c r="B6" s="45"/>
      <c r="C6" s="45"/>
      <c r="D6" s="14" t="s">
        <v>301</v>
      </c>
      <c r="E6" s="45"/>
    </row>
    <row r="7" spans="1:5" ht="14.4" x14ac:dyDescent="0.3">
      <c r="A7" s="52"/>
      <c r="B7" s="45"/>
      <c r="C7" s="45"/>
      <c r="D7" s="14" t="s">
        <v>302</v>
      </c>
      <c r="E7" s="45"/>
    </row>
    <row r="8" spans="1:5" ht="14.4" x14ac:dyDescent="0.3">
      <c r="A8" s="52"/>
      <c r="B8" s="45"/>
      <c r="C8" s="45"/>
      <c r="D8" s="14" t="s">
        <v>303</v>
      </c>
      <c r="E8" s="45"/>
    </row>
    <row r="9" spans="1:5" ht="14.4" x14ac:dyDescent="0.3">
      <c r="A9" s="52"/>
      <c r="B9" s="45"/>
      <c r="C9" s="45"/>
      <c r="D9" s="14" t="s">
        <v>304</v>
      </c>
      <c r="E9" s="45"/>
    </row>
    <row r="10" spans="1:5" ht="14.4" x14ac:dyDescent="0.3">
      <c r="A10" s="52"/>
      <c r="B10" s="45"/>
      <c r="C10" s="45"/>
      <c r="D10" s="14" t="s">
        <v>305</v>
      </c>
      <c r="E10" s="45"/>
    </row>
    <row r="11" spans="1:5" ht="14.4" customHeight="1" x14ac:dyDescent="0.3">
      <c r="A11" s="52"/>
      <c r="B11" s="45" t="s">
        <v>306</v>
      </c>
      <c r="C11" s="45" t="s">
        <v>307</v>
      </c>
      <c r="D11" s="14" t="s">
        <v>308</v>
      </c>
      <c r="E11" s="45" t="s">
        <v>662</v>
      </c>
    </row>
    <row r="12" spans="1:5" ht="14.4" x14ac:dyDescent="0.3">
      <c r="A12" s="52"/>
      <c r="B12" s="45"/>
      <c r="C12" s="45"/>
      <c r="D12" s="14" t="s">
        <v>309</v>
      </c>
      <c r="E12" s="45"/>
    </row>
    <row r="13" spans="1:5" ht="14.4" x14ac:dyDescent="0.3">
      <c r="A13" s="52"/>
      <c r="B13" s="45"/>
      <c r="C13" s="45"/>
      <c r="D13" s="14" t="s">
        <v>310</v>
      </c>
      <c r="E13" s="45"/>
    </row>
    <row r="14" spans="1:5" ht="14.4" x14ac:dyDescent="0.3">
      <c r="A14" s="52"/>
      <c r="B14" s="45"/>
      <c r="C14" s="45"/>
      <c r="D14" s="14" t="s">
        <v>311</v>
      </c>
      <c r="E14" s="45"/>
    </row>
    <row r="15" spans="1:5" ht="14.4" x14ac:dyDescent="0.3">
      <c r="A15" s="52"/>
      <c r="B15" s="45"/>
      <c r="C15" s="45"/>
      <c r="D15" s="14" t="s">
        <v>312</v>
      </c>
      <c r="E15" s="45"/>
    </row>
    <row r="16" spans="1:5" ht="14.4" x14ac:dyDescent="0.3">
      <c r="A16" s="52"/>
      <c r="B16" s="45"/>
      <c r="C16" s="45"/>
      <c r="D16" s="14" t="s">
        <v>313</v>
      </c>
      <c r="E16" s="45"/>
    </row>
    <row r="17" spans="1:5" ht="14.4" customHeight="1" x14ac:dyDescent="0.3">
      <c r="A17" s="52"/>
      <c r="B17" s="57" t="s">
        <v>314</v>
      </c>
      <c r="C17" s="57" t="s">
        <v>315</v>
      </c>
      <c r="D17" s="44" t="s">
        <v>316</v>
      </c>
      <c r="E17" s="45" t="s">
        <v>664</v>
      </c>
    </row>
    <row r="18" spans="1:5" ht="14.4" x14ac:dyDescent="0.3">
      <c r="A18" s="52"/>
      <c r="B18" s="57"/>
      <c r="C18" s="57"/>
      <c r="D18" s="44" t="s">
        <v>317</v>
      </c>
      <c r="E18" s="45"/>
    </row>
    <row r="19" spans="1:5" ht="14.4" x14ac:dyDescent="0.3">
      <c r="A19" s="52"/>
      <c r="B19" s="57"/>
      <c r="C19" s="57"/>
      <c r="D19" s="44" t="s">
        <v>318</v>
      </c>
      <c r="E19" s="45"/>
    </row>
    <row r="20" spans="1:5" ht="14.4" x14ac:dyDescent="0.3">
      <c r="A20" s="52"/>
      <c r="B20" s="57"/>
      <c r="C20" s="57"/>
      <c r="D20" s="44" t="s">
        <v>319</v>
      </c>
      <c r="E20" s="45"/>
    </row>
    <row r="21" spans="1:5" ht="14.4" x14ac:dyDescent="0.3">
      <c r="A21" s="52"/>
      <c r="B21" s="57"/>
      <c r="C21" s="57"/>
      <c r="D21" s="44" t="s">
        <v>320</v>
      </c>
      <c r="E21" s="45"/>
    </row>
    <row r="22" spans="1:5" ht="14.4" x14ac:dyDescent="0.3">
      <c r="A22" s="52"/>
      <c r="B22" s="57"/>
      <c r="C22" s="57"/>
      <c r="D22" s="44" t="s">
        <v>321</v>
      </c>
      <c r="E22" s="45"/>
    </row>
    <row r="23" spans="1:5" ht="14.4" customHeight="1" x14ac:dyDescent="0.3">
      <c r="A23" s="52"/>
      <c r="B23" s="57" t="s">
        <v>322</v>
      </c>
      <c r="C23" s="45" t="s">
        <v>323</v>
      </c>
      <c r="D23" s="14" t="s">
        <v>324</v>
      </c>
      <c r="E23" s="45" t="s">
        <v>664</v>
      </c>
    </row>
    <row r="24" spans="1:5" ht="14.4" x14ac:dyDescent="0.3">
      <c r="A24" s="52"/>
      <c r="B24" s="57"/>
      <c r="C24" s="45"/>
      <c r="D24" s="14" t="s">
        <v>325</v>
      </c>
      <c r="E24" s="45"/>
    </row>
    <row r="25" spans="1:5" ht="14.4" x14ac:dyDescent="0.3">
      <c r="A25" s="52"/>
      <c r="B25" s="57"/>
      <c r="C25" s="45"/>
      <c r="D25" s="14" t="s">
        <v>326</v>
      </c>
      <c r="E25" s="45"/>
    </row>
    <row r="26" spans="1:5" ht="14.4" x14ac:dyDescent="0.3">
      <c r="A26" s="52"/>
      <c r="B26" s="57"/>
      <c r="C26" s="45"/>
      <c r="D26" s="14" t="s">
        <v>327</v>
      </c>
      <c r="E26" s="45"/>
    </row>
    <row r="27" spans="1:5" ht="14.4" x14ac:dyDescent="0.3">
      <c r="A27" s="52"/>
      <c r="B27" s="57"/>
      <c r="C27" s="45"/>
      <c r="D27" s="14" t="s">
        <v>328</v>
      </c>
      <c r="E27" s="45"/>
    </row>
    <row r="28" spans="1:5" ht="14.4" x14ac:dyDescent="0.3">
      <c r="A28" s="52"/>
      <c r="B28" s="57"/>
      <c r="C28" s="45"/>
      <c r="D28" s="14" t="s">
        <v>329</v>
      </c>
      <c r="E28" s="45"/>
    </row>
    <row r="29" spans="1:5" ht="14.4" customHeight="1" x14ac:dyDescent="0.3">
      <c r="A29" s="52"/>
      <c r="B29" s="45" t="s">
        <v>330</v>
      </c>
      <c r="C29" s="45" t="s">
        <v>331</v>
      </c>
      <c r="D29" s="14" t="s">
        <v>332</v>
      </c>
      <c r="E29" s="45" t="s">
        <v>664</v>
      </c>
    </row>
    <row r="30" spans="1:5" ht="14.4" x14ac:dyDescent="0.3">
      <c r="A30" s="52"/>
      <c r="B30" s="45"/>
      <c r="C30" s="45"/>
      <c r="D30" s="14" t="s">
        <v>333</v>
      </c>
      <c r="E30" s="45"/>
    </row>
    <row r="31" spans="1:5" ht="14.4" x14ac:dyDescent="0.3">
      <c r="A31" s="52"/>
      <c r="B31" s="45"/>
      <c r="C31" s="45"/>
      <c r="D31" s="14" t="s">
        <v>334</v>
      </c>
      <c r="E31" s="45"/>
    </row>
    <row r="32" spans="1:5" ht="14.4" x14ac:dyDescent="0.3">
      <c r="A32" s="52"/>
      <c r="B32" s="45"/>
      <c r="C32" s="45"/>
      <c r="D32" s="14" t="s">
        <v>335</v>
      </c>
      <c r="E32" s="45"/>
    </row>
    <row r="33" spans="1:5" ht="14.4" x14ac:dyDescent="0.3">
      <c r="A33" s="52"/>
      <c r="B33" s="45"/>
      <c r="C33" s="45"/>
      <c r="D33" s="14" t="s">
        <v>336</v>
      </c>
      <c r="E33" s="45"/>
    </row>
    <row r="34" spans="1:5" ht="14.4" x14ac:dyDescent="0.3">
      <c r="A34" s="52"/>
      <c r="B34" s="45"/>
      <c r="C34" s="45"/>
      <c r="D34" s="14" t="s">
        <v>337</v>
      </c>
      <c r="E34" s="45"/>
    </row>
    <row r="35" spans="1:5" ht="14.4" customHeight="1" x14ac:dyDescent="0.3">
      <c r="A35" s="52"/>
      <c r="B35" s="57" t="s">
        <v>338</v>
      </c>
      <c r="C35" s="57" t="s">
        <v>339</v>
      </c>
      <c r="D35" s="14" t="s">
        <v>340</v>
      </c>
      <c r="E35" s="45" t="s">
        <v>664</v>
      </c>
    </row>
    <row r="36" spans="1:5" ht="14.4" x14ac:dyDescent="0.3">
      <c r="A36" s="52"/>
      <c r="B36" s="57"/>
      <c r="C36" s="57"/>
      <c r="D36" s="14" t="s">
        <v>341</v>
      </c>
      <c r="E36" s="45"/>
    </row>
    <row r="37" spans="1:5" ht="14.4" x14ac:dyDescent="0.3">
      <c r="A37" s="52"/>
      <c r="B37" s="57"/>
      <c r="C37" s="57"/>
      <c r="D37" s="14" t="s">
        <v>342</v>
      </c>
      <c r="E37" s="45"/>
    </row>
    <row r="38" spans="1:5" ht="14.4" x14ac:dyDescent="0.3">
      <c r="A38" s="52"/>
      <c r="B38" s="57"/>
      <c r="C38" s="57"/>
      <c r="D38" s="14" t="s">
        <v>343</v>
      </c>
      <c r="E38" s="45"/>
    </row>
    <row r="39" spans="1:5" ht="14.4" x14ac:dyDescent="0.3">
      <c r="A39" s="52"/>
      <c r="B39" s="57"/>
      <c r="C39" s="57"/>
      <c r="D39" s="14" t="s">
        <v>344</v>
      </c>
      <c r="E39" s="45"/>
    </row>
    <row r="40" spans="1:5" ht="14.4" x14ac:dyDescent="0.3">
      <c r="A40" s="52"/>
      <c r="B40" s="57"/>
      <c r="C40" s="57"/>
      <c r="D40" s="14" t="s">
        <v>345</v>
      </c>
      <c r="E40" s="45"/>
    </row>
    <row r="43" spans="1:5" ht="14.4" x14ac:dyDescent="0.3">
      <c r="B43">
        <f>COUNTA(B5:B40)</f>
        <v>6</v>
      </c>
      <c r="D43">
        <f t="shared" ref="D43" si="0">COUNTA(D5:D40)</f>
        <v>36</v>
      </c>
    </row>
  </sheetData>
  <mergeCells count="20">
    <mergeCell ref="E35:E40"/>
    <mergeCell ref="E5:E10"/>
    <mergeCell ref="E11:E16"/>
    <mergeCell ref="E17:E22"/>
    <mergeCell ref="E23:E28"/>
    <mergeCell ref="E29:E34"/>
    <mergeCell ref="A2:B2"/>
    <mergeCell ref="A5:A40"/>
    <mergeCell ref="B5:B10"/>
    <mergeCell ref="C5:C10"/>
    <mergeCell ref="B17:B22"/>
    <mergeCell ref="C17:C22"/>
    <mergeCell ref="B29:B34"/>
    <mergeCell ref="C29:C34"/>
    <mergeCell ref="B23:B28"/>
    <mergeCell ref="C23:C28"/>
    <mergeCell ref="B11:B16"/>
    <mergeCell ref="C11:C16"/>
    <mergeCell ref="B35:B40"/>
    <mergeCell ref="C35:C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0222-CB66-4040-8C40-6645033B9FD9}">
  <dimension ref="A2:E72"/>
  <sheetViews>
    <sheetView zoomScale="70" zoomScaleNormal="70" workbookViewId="0">
      <selection activeCell="A5" sqref="A5:E68"/>
    </sheetView>
  </sheetViews>
  <sheetFormatPr baseColWidth="10" defaultColWidth="20.6640625" defaultRowHeight="15" customHeight="1" x14ac:dyDescent="0.3"/>
  <cols>
    <col min="1" max="1" width="58.88671875" customWidth="1"/>
    <col min="2" max="2" width="33" customWidth="1"/>
    <col min="3" max="3" width="34.6640625" customWidth="1"/>
    <col min="4" max="4" width="55.88671875" customWidth="1"/>
    <col min="5" max="5" width="41.33203125" customWidth="1"/>
  </cols>
  <sheetData>
    <row r="2" spans="1:5" ht="23.4" x14ac:dyDescent="0.45">
      <c r="A2" s="47" t="s">
        <v>346</v>
      </c>
      <c r="B2" s="47"/>
      <c r="C2" s="1" t="s">
        <v>17</v>
      </c>
      <c r="D2" s="1"/>
      <c r="E2" s="1"/>
    </row>
    <row r="3" spans="1:5" ht="13.95" customHeight="1" x14ac:dyDescent="0.3">
      <c r="A3" s="1"/>
      <c r="B3" s="1"/>
      <c r="C3" s="1"/>
      <c r="D3" s="1"/>
      <c r="E3" s="1"/>
    </row>
    <row r="4" spans="1:5" ht="21" x14ac:dyDescent="0.3">
      <c r="A4" s="2" t="s">
        <v>18</v>
      </c>
      <c r="B4" s="2" t="s">
        <v>19</v>
      </c>
      <c r="C4" s="2" t="s">
        <v>20</v>
      </c>
      <c r="D4" s="3" t="s">
        <v>21</v>
      </c>
      <c r="E4" s="3" t="s">
        <v>22</v>
      </c>
    </row>
    <row r="5" spans="1:5" ht="13.95" customHeight="1" x14ac:dyDescent="0.35">
      <c r="A5" s="52" t="s">
        <v>347</v>
      </c>
      <c r="B5" s="85" t="s">
        <v>348</v>
      </c>
      <c r="C5" s="86" t="s">
        <v>349</v>
      </c>
      <c r="D5" s="39" t="s">
        <v>350</v>
      </c>
      <c r="E5" s="50" t="s">
        <v>351</v>
      </c>
    </row>
    <row r="6" spans="1:5" ht="13.95" customHeight="1" x14ac:dyDescent="0.35">
      <c r="A6" s="52"/>
      <c r="B6" s="85"/>
      <c r="C6" s="86"/>
      <c r="D6" s="39" t="s">
        <v>352</v>
      </c>
      <c r="E6" s="50"/>
    </row>
    <row r="7" spans="1:5" ht="13.95" customHeight="1" x14ac:dyDescent="0.35">
      <c r="A7" s="52"/>
      <c r="B7" s="85"/>
      <c r="C7" s="86"/>
      <c r="D7" s="39" t="s">
        <v>353</v>
      </c>
      <c r="E7" s="50"/>
    </row>
    <row r="8" spans="1:5" ht="13.95" customHeight="1" x14ac:dyDescent="0.35">
      <c r="A8" s="52"/>
      <c r="B8" s="85"/>
      <c r="C8" s="86"/>
      <c r="D8" s="39" t="s">
        <v>354</v>
      </c>
      <c r="E8" s="50"/>
    </row>
    <row r="9" spans="1:5" ht="13.95" customHeight="1" x14ac:dyDescent="0.35">
      <c r="A9" s="52"/>
      <c r="B9" s="85" t="s">
        <v>355</v>
      </c>
      <c r="C9" s="86" t="s">
        <v>356</v>
      </c>
      <c r="D9" s="40" t="s">
        <v>357</v>
      </c>
      <c r="E9" s="50" t="s">
        <v>358</v>
      </c>
    </row>
    <row r="10" spans="1:5" ht="13.95" customHeight="1" x14ac:dyDescent="0.35">
      <c r="A10" s="52"/>
      <c r="B10" s="85"/>
      <c r="C10" s="86"/>
      <c r="D10" s="40" t="s">
        <v>359</v>
      </c>
      <c r="E10" s="50"/>
    </row>
    <row r="11" spans="1:5" ht="13.95" customHeight="1" x14ac:dyDescent="0.35">
      <c r="A11" s="52"/>
      <c r="B11" s="85"/>
      <c r="C11" s="86"/>
      <c r="D11" s="40" t="s">
        <v>360</v>
      </c>
      <c r="E11" s="50"/>
    </row>
    <row r="12" spans="1:5" ht="13.95" customHeight="1" x14ac:dyDescent="0.35">
      <c r="A12" s="52"/>
      <c r="B12" s="85"/>
      <c r="C12" s="86"/>
      <c r="D12" s="40" t="s">
        <v>361</v>
      </c>
      <c r="E12" s="50"/>
    </row>
    <row r="13" spans="1:5" ht="13.95" customHeight="1" x14ac:dyDescent="0.35">
      <c r="A13" s="52"/>
      <c r="B13" s="85"/>
      <c r="C13" s="86"/>
      <c r="D13" s="40" t="s">
        <v>362</v>
      </c>
      <c r="E13" s="50"/>
    </row>
    <row r="14" spans="1:5" ht="13.95" customHeight="1" x14ac:dyDescent="0.35">
      <c r="A14" s="52"/>
      <c r="B14" s="85" t="s">
        <v>363</v>
      </c>
      <c r="C14" s="86" t="s">
        <v>364</v>
      </c>
      <c r="D14" s="39" t="s">
        <v>365</v>
      </c>
      <c r="E14" s="50" t="s">
        <v>358</v>
      </c>
    </row>
    <row r="15" spans="1:5" ht="13.95" customHeight="1" x14ac:dyDescent="0.35">
      <c r="A15" s="52"/>
      <c r="B15" s="85"/>
      <c r="C15" s="86"/>
      <c r="D15" s="40" t="s">
        <v>366</v>
      </c>
      <c r="E15" s="50"/>
    </row>
    <row r="16" spans="1:5" ht="13.95" customHeight="1" x14ac:dyDescent="0.35">
      <c r="A16" s="52"/>
      <c r="B16" s="85"/>
      <c r="C16" s="86"/>
      <c r="D16" s="40" t="s">
        <v>367</v>
      </c>
      <c r="E16" s="50"/>
    </row>
    <row r="17" spans="1:5" ht="13.95" customHeight="1" x14ac:dyDescent="0.35">
      <c r="A17" s="52"/>
      <c r="B17" s="85"/>
      <c r="C17" s="86"/>
      <c r="D17" s="39" t="s">
        <v>368</v>
      </c>
      <c r="E17" s="50"/>
    </row>
    <row r="18" spans="1:5" ht="13.95" customHeight="1" x14ac:dyDescent="0.35">
      <c r="A18" s="52"/>
      <c r="B18" s="85"/>
      <c r="C18" s="86"/>
      <c r="D18" s="39" t="s">
        <v>369</v>
      </c>
      <c r="E18" s="50"/>
    </row>
    <row r="19" spans="1:5" ht="13.95" customHeight="1" x14ac:dyDescent="0.35">
      <c r="A19" s="52"/>
      <c r="B19" s="85"/>
      <c r="C19" s="86"/>
      <c r="D19" s="40" t="s">
        <v>370</v>
      </c>
      <c r="E19" s="50"/>
    </row>
    <row r="20" spans="1:5" ht="13.95" customHeight="1" x14ac:dyDescent="0.35">
      <c r="A20" s="52"/>
      <c r="B20" s="85" t="s">
        <v>371</v>
      </c>
      <c r="C20" s="86" t="s">
        <v>372</v>
      </c>
      <c r="D20" s="39" t="s">
        <v>373</v>
      </c>
      <c r="E20" s="50" t="s">
        <v>358</v>
      </c>
    </row>
    <row r="21" spans="1:5" ht="13.95" customHeight="1" x14ac:dyDescent="0.35">
      <c r="A21" s="52"/>
      <c r="B21" s="85"/>
      <c r="C21" s="86"/>
      <c r="D21" s="39" t="s">
        <v>374</v>
      </c>
      <c r="E21" s="50"/>
    </row>
    <row r="22" spans="1:5" ht="13.95" customHeight="1" x14ac:dyDescent="0.35">
      <c r="A22" s="52"/>
      <c r="B22" s="85"/>
      <c r="C22" s="86"/>
      <c r="D22" s="39" t="s">
        <v>375</v>
      </c>
      <c r="E22" s="50"/>
    </row>
    <row r="23" spans="1:5" ht="13.95" customHeight="1" x14ac:dyDescent="0.35">
      <c r="A23" s="52"/>
      <c r="B23" s="85"/>
      <c r="C23" s="86"/>
      <c r="D23" s="39" t="s">
        <v>376</v>
      </c>
      <c r="E23" s="50"/>
    </row>
    <row r="24" spans="1:5" ht="13.95" customHeight="1" x14ac:dyDescent="0.35">
      <c r="A24" s="52"/>
      <c r="B24" s="85" t="s">
        <v>377</v>
      </c>
      <c r="C24" s="86" t="s">
        <v>378</v>
      </c>
      <c r="D24" s="39" t="s">
        <v>379</v>
      </c>
      <c r="E24" s="50" t="s">
        <v>358</v>
      </c>
    </row>
    <row r="25" spans="1:5" ht="13.95" customHeight="1" x14ac:dyDescent="0.35">
      <c r="A25" s="52"/>
      <c r="B25" s="85"/>
      <c r="C25" s="86"/>
      <c r="D25" s="40" t="s">
        <v>380</v>
      </c>
      <c r="E25" s="50"/>
    </row>
    <row r="26" spans="1:5" ht="13.95" customHeight="1" x14ac:dyDescent="0.35">
      <c r="A26" s="52"/>
      <c r="B26" s="85"/>
      <c r="C26" s="86"/>
      <c r="D26" s="40" t="s">
        <v>381</v>
      </c>
      <c r="E26" s="50"/>
    </row>
    <row r="27" spans="1:5" ht="13.95" customHeight="1" x14ac:dyDescent="0.35">
      <c r="A27" s="52"/>
      <c r="B27" s="85"/>
      <c r="C27" s="86"/>
      <c r="D27" s="40" t="s">
        <v>382</v>
      </c>
      <c r="E27" s="50"/>
    </row>
    <row r="28" spans="1:5" ht="13.95" customHeight="1" x14ac:dyDescent="0.35">
      <c r="A28" s="52"/>
      <c r="B28" s="85" t="s">
        <v>383</v>
      </c>
      <c r="C28" s="86" t="s">
        <v>384</v>
      </c>
      <c r="D28" s="40" t="s">
        <v>385</v>
      </c>
      <c r="E28" s="50" t="s">
        <v>358</v>
      </c>
    </row>
    <row r="29" spans="1:5" ht="13.95" customHeight="1" x14ac:dyDescent="0.35">
      <c r="A29" s="52"/>
      <c r="B29" s="85"/>
      <c r="C29" s="86"/>
      <c r="D29" s="40" t="s">
        <v>386</v>
      </c>
      <c r="E29" s="50"/>
    </row>
    <row r="30" spans="1:5" ht="13.95" customHeight="1" x14ac:dyDescent="0.35">
      <c r="A30" s="52"/>
      <c r="B30" s="85"/>
      <c r="C30" s="86"/>
      <c r="D30" s="40" t="s">
        <v>387</v>
      </c>
      <c r="E30" s="50"/>
    </row>
    <row r="31" spans="1:5" ht="13.95" customHeight="1" x14ac:dyDescent="0.35">
      <c r="A31" s="52"/>
      <c r="B31" s="85"/>
      <c r="C31" s="86"/>
      <c r="D31" s="40" t="s">
        <v>388</v>
      </c>
      <c r="E31" s="50"/>
    </row>
    <row r="32" spans="1:5" ht="13.95" customHeight="1" x14ac:dyDescent="0.35">
      <c r="A32" s="52"/>
      <c r="B32" s="85"/>
      <c r="C32" s="86"/>
      <c r="D32" s="40" t="s">
        <v>389</v>
      </c>
      <c r="E32" s="50"/>
    </row>
    <row r="33" spans="1:5" ht="13.95" customHeight="1" x14ac:dyDescent="0.35">
      <c r="A33" s="52"/>
      <c r="B33" s="85" t="s">
        <v>390</v>
      </c>
      <c r="C33" s="86" t="s">
        <v>391</v>
      </c>
      <c r="D33" s="40" t="s">
        <v>392</v>
      </c>
      <c r="E33" s="50" t="s">
        <v>358</v>
      </c>
    </row>
    <row r="34" spans="1:5" ht="13.95" customHeight="1" x14ac:dyDescent="0.35">
      <c r="A34" s="52"/>
      <c r="B34" s="85"/>
      <c r="C34" s="86"/>
      <c r="D34" s="40" t="s">
        <v>393</v>
      </c>
      <c r="E34" s="50"/>
    </row>
    <row r="35" spans="1:5" ht="13.95" customHeight="1" x14ac:dyDescent="0.35">
      <c r="A35" s="52"/>
      <c r="B35" s="85"/>
      <c r="C35" s="86"/>
      <c r="D35" s="39" t="s">
        <v>394</v>
      </c>
      <c r="E35" s="50"/>
    </row>
    <row r="36" spans="1:5" ht="13.95" customHeight="1" x14ac:dyDescent="0.35">
      <c r="A36" s="52"/>
      <c r="B36" s="85"/>
      <c r="C36" s="86"/>
      <c r="D36" s="39" t="s">
        <v>395</v>
      </c>
      <c r="E36" s="50"/>
    </row>
    <row r="37" spans="1:5" ht="13.95" customHeight="1" x14ac:dyDescent="0.35">
      <c r="A37" s="52"/>
      <c r="B37" s="85"/>
      <c r="C37" s="86"/>
      <c r="D37" s="40" t="s">
        <v>396</v>
      </c>
      <c r="E37" s="50"/>
    </row>
    <row r="38" spans="1:5" ht="13.95" customHeight="1" x14ac:dyDescent="0.35">
      <c r="A38" s="52"/>
      <c r="B38" s="85" t="s">
        <v>397</v>
      </c>
      <c r="C38" s="86" t="s">
        <v>398</v>
      </c>
      <c r="D38" s="40" t="s">
        <v>399</v>
      </c>
      <c r="E38" s="50" t="s">
        <v>358</v>
      </c>
    </row>
    <row r="39" spans="1:5" ht="13.95" customHeight="1" x14ac:dyDescent="0.35">
      <c r="A39" s="52"/>
      <c r="B39" s="85"/>
      <c r="C39" s="86"/>
      <c r="D39" s="40" t="s">
        <v>400</v>
      </c>
      <c r="E39" s="50"/>
    </row>
    <row r="40" spans="1:5" ht="13.95" customHeight="1" x14ac:dyDescent="0.35">
      <c r="A40" s="52"/>
      <c r="B40" s="85"/>
      <c r="C40" s="86"/>
      <c r="D40" s="40" t="s">
        <v>401</v>
      </c>
      <c r="E40" s="50"/>
    </row>
    <row r="41" spans="1:5" ht="13.95" customHeight="1" x14ac:dyDescent="0.35">
      <c r="A41" s="52"/>
      <c r="B41" s="85"/>
      <c r="C41" s="86"/>
      <c r="D41" s="40" t="s">
        <v>402</v>
      </c>
      <c r="E41" s="50"/>
    </row>
    <row r="42" spans="1:5" ht="13.95" customHeight="1" x14ac:dyDescent="0.35">
      <c r="A42" s="52"/>
      <c r="B42" s="85"/>
      <c r="C42" s="86"/>
      <c r="D42" s="39" t="s">
        <v>403</v>
      </c>
      <c r="E42" s="50"/>
    </row>
    <row r="43" spans="1:5" ht="13.95" customHeight="1" x14ac:dyDescent="0.35">
      <c r="A43" s="52"/>
      <c r="B43" s="85"/>
      <c r="C43" s="86"/>
      <c r="D43" s="39" t="s">
        <v>404</v>
      </c>
      <c r="E43" s="50"/>
    </row>
    <row r="44" spans="1:5" ht="13.95" customHeight="1" x14ac:dyDescent="0.35">
      <c r="A44" s="52"/>
      <c r="B44" s="85" t="s">
        <v>405</v>
      </c>
      <c r="C44" s="86" t="s">
        <v>406</v>
      </c>
      <c r="D44" s="39" t="s">
        <v>407</v>
      </c>
      <c r="E44" s="50" t="s">
        <v>358</v>
      </c>
    </row>
    <row r="45" spans="1:5" ht="13.95" customHeight="1" x14ac:dyDescent="0.35">
      <c r="A45" s="52"/>
      <c r="B45" s="85"/>
      <c r="C45" s="86"/>
      <c r="D45" s="39" t="s">
        <v>408</v>
      </c>
      <c r="E45" s="50"/>
    </row>
    <row r="46" spans="1:5" ht="13.95" customHeight="1" x14ac:dyDescent="0.35">
      <c r="A46" s="52"/>
      <c r="B46" s="85"/>
      <c r="C46" s="86"/>
      <c r="D46" s="39" t="s">
        <v>409</v>
      </c>
      <c r="E46" s="50"/>
    </row>
    <row r="47" spans="1:5" ht="13.95" customHeight="1" x14ac:dyDescent="0.35">
      <c r="A47" s="52"/>
      <c r="B47" s="85"/>
      <c r="C47" s="86"/>
      <c r="D47" s="39" t="s">
        <v>410</v>
      </c>
      <c r="E47" s="50"/>
    </row>
    <row r="48" spans="1:5" ht="13.95" customHeight="1" x14ac:dyDescent="0.35">
      <c r="A48" s="52"/>
      <c r="B48" s="85"/>
      <c r="C48" s="86"/>
      <c r="D48" s="40" t="s">
        <v>411</v>
      </c>
      <c r="E48" s="50"/>
    </row>
    <row r="49" spans="1:5" ht="13.95" customHeight="1" x14ac:dyDescent="0.35">
      <c r="A49" s="52"/>
      <c r="B49" s="85" t="s">
        <v>412</v>
      </c>
      <c r="C49" s="86" t="s">
        <v>413</v>
      </c>
      <c r="D49" s="39" t="s">
        <v>414</v>
      </c>
      <c r="E49" s="83" t="s">
        <v>358</v>
      </c>
    </row>
    <row r="50" spans="1:5" ht="13.95" customHeight="1" x14ac:dyDescent="0.35">
      <c r="A50" s="52"/>
      <c r="B50" s="85"/>
      <c r="C50" s="86"/>
      <c r="D50" s="39" t="s">
        <v>415</v>
      </c>
      <c r="E50" s="84"/>
    </row>
    <row r="51" spans="1:5" ht="13.95" customHeight="1" x14ac:dyDescent="0.35">
      <c r="A51" s="52"/>
      <c r="B51" s="85"/>
      <c r="C51" s="86"/>
      <c r="D51" s="40" t="s">
        <v>416</v>
      </c>
      <c r="E51" s="84"/>
    </row>
    <row r="52" spans="1:5" ht="13.95" customHeight="1" x14ac:dyDescent="0.35">
      <c r="A52" s="52"/>
      <c r="B52" s="85"/>
      <c r="C52" s="86"/>
      <c r="D52" s="39" t="s">
        <v>417</v>
      </c>
      <c r="E52" s="84"/>
    </row>
    <row r="53" spans="1:5" ht="13.95" customHeight="1" x14ac:dyDescent="0.35">
      <c r="A53" s="52"/>
      <c r="B53" s="85"/>
      <c r="C53" s="86"/>
      <c r="D53" s="40" t="s">
        <v>418</v>
      </c>
      <c r="E53" s="84"/>
    </row>
    <row r="54" spans="1:5" ht="13.95" customHeight="1" x14ac:dyDescent="0.3">
      <c r="A54" s="52"/>
      <c r="B54" s="85" t="s">
        <v>419</v>
      </c>
      <c r="C54" s="86" t="s">
        <v>420</v>
      </c>
      <c r="D54" s="41" t="s">
        <v>421</v>
      </c>
      <c r="E54" s="83" t="s">
        <v>358</v>
      </c>
    </row>
    <row r="55" spans="1:5" ht="13.95" customHeight="1" x14ac:dyDescent="0.3">
      <c r="A55" s="52"/>
      <c r="B55" s="85"/>
      <c r="C55" s="86"/>
      <c r="D55" s="41" t="s">
        <v>422</v>
      </c>
      <c r="E55" s="84"/>
    </row>
    <row r="56" spans="1:5" ht="13.95" customHeight="1" x14ac:dyDescent="0.3">
      <c r="A56" s="52"/>
      <c r="B56" s="85"/>
      <c r="C56" s="86"/>
      <c r="D56" s="38" t="s">
        <v>423</v>
      </c>
      <c r="E56" s="84"/>
    </row>
    <row r="57" spans="1:5" ht="13.95" customHeight="1" x14ac:dyDescent="0.3">
      <c r="A57" s="52"/>
      <c r="B57" s="85"/>
      <c r="C57" s="86"/>
      <c r="D57" s="41" t="s">
        <v>424</v>
      </c>
      <c r="E57" s="84"/>
    </row>
    <row r="58" spans="1:5" ht="13.95" customHeight="1" x14ac:dyDescent="0.3">
      <c r="A58" s="52"/>
      <c r="B58" s="85"/>
      <c r="C58" s="86"/>
      <c r="D58" s="38" t="s">
        <v>425</v>
      </c>
      <c r="E58" s="84"/>
    </row>
    <row r="59" spans="1:5" ht="13.95" customHeight="1" x14ac:dyDescent="0.3">
      <c r="A59" s="52"/>
      <c r="B59" s="85"/>
      <c r="C59" s="86"/>
      <c r="D59" s="41" t="s">
        <v>426</v>
      </c>
      <c r="E59" s="84"/>
    </row>
    <row r="60" spans="1:5" ht="13.95" customHeight="1" x14ac:dyDescent="0.35">
      <c r="A60" s="52"/>
      <c r="B60" s="85" t="s">
        <v>427</v>
      </c>
      <c r="C60" s="86" t="s">
        <v>428</v>
      </c>
      <c r="D60" s="40" t="s">
        <v>429</v>
      </c>
      <c r="E60" s="83" t="s">
        <v>358</v>
      </c>
    </row>
    <row r="61" spans="1:5" ht="13.95" customHeight="1" x14ac:dyDescent="0.35">
      <c r="A61" s="52"/>
      <c r="B61" s="85"/>
      <c r="C61" s="86"/>
      <c r="D61" s="40" t="s">
        <v>430</v>
      </c>
      <c r="E61" s="84"/>
    </row>
    <row r="62" spans="1:5" ht="13.95" customHeight="1" x14ac:dyDescent="0.35">
      <c r="A62" s="52"/>
      <c r="B62" s="85"/>
      <c r="C62" s="86"/>
      <c r="D62" s="40" t="s">
        <v>431</v>
      </c>
      <c r="E62" s="84"/>
    </row>
    <row r="63" spans="1:5" ht="13.95" customHeight="1" x14ac:dyDescent="0.35">
      <c r="A63" s="52"/>
      <c r="B63" s="85"/>
      <c r="C63" s="86"/>
      <c r="D63" s="40" t="s">
        <v>432</v>
      </c>
      <c r="E63" s="84"/>
    </row>
    <row r="64" spans="1:5" ht="13.95" customHeight="1" x14ac:dyDescent="0.35">
      <c r="A64" s="52"/>
      <c r="B64" s="85" t="s">
        <v>433</v>
      </c>
      <c r="C64" s="86" t="s">
        <v>434</v>
      </c>
      <c r="D64" s="42" t="s">
        <v>435</v>
      </c>
      <c r="E64" s="83" t="s">
        <v>358</v>
      </c>
    </row>
    <row r="65" spans="1:5" ht="13.95" customHeight="1" x14ac:dyDescent="0.3">
      <c r="A65" s="52"/>
      <c r="B65" s="85"/>
      <c r="C65" s="86"/>
      <c r="D65" s="43" t="s">
        <v>436</v>
      </c>
      <c r="E65" s="84"/>
    </row>
    <row r="66" spans="1:5" ht="13.95" customHeight="1" x14ac:dyDescent="0.3">
      <c r="A66" s="52"/>
      <c r="B66" s="85"/>
      <c r="C66" s="86"/>
      <c r="D66" s="43" t="s">
        <v>437</v>
      </c>
      <c r="E66" s="84"/>
    </row>
    <row r="67" spans="1:5" ht="13.95" customHeight="1" x14ac:dyDescent="0.3">
      <c r="A67" s="52"/>
      <c r="B67" s="85"/>
      <c r="C67" s="86"/>
      <c r="D67" s="43" t="s">
        <v>438</v>
      </c>
      <c r="E67" s="84"/>
    </row>
    <row r="68" spans="1:5" ht="13.95" customHeight="1" x14ac:dyDescent="0.35">
      <c r="A68" s="52"/>
      <c r="B68" s="85"/>
      <c r="C68" s="86"/>
      <c r="D68" s="40" t="s">
        <v>439</v>
      </c>
      <c r="E68" s="84"/>
    </row>
    <row r="72" spans="1:5" ht="14.4" x14ac:dyDescent="0.3">
      <c r="B72">
        <f>COUNTA(B5:B68)</f>
        <v>13</v>
      </c>
      <c r="D72">
        <f t="shared" ref="D72" si="0">COUNTA(D5:D68)</f>
        <v>64</v>
      </c>
    </row>
  </sheetData>
  <mergeCells count="41">
    <mergeCell ref="A2:B2"/>
    <mergeCell ref="A5:A68"/>
    <mergeCell ref="B5:B8"/>
    <mergeCell ref="C5:C8"/>
    <mergeCell ref="B14:B19"/>
    <mergeCell ref="C14:C19"/>
    <mergeCell ref="B24:B27"/>
    <mergeCell ref="C24:C27"/>
    <mergeCell ref="B38:B43"/>
    <mergeCell ref="C38:C43"/>
    <mergeCell ref="B64:B68"/>
    <mergeCell ref="C64:C68"/>
    <mergeCell ref="B20:B23"/>
    <mergeCell ref="C20:C23"/>
    <mergeCell ref="B9:B13"/>
    <mergeCell ref="C9:C13"/>
    <mergeCell ref="E5:E8"/>
    <mergeCell ref="E9:E13"/>
    <mergeCell ref="E14:E19"/>
    <mergeCell ref="E20:E23"/>
    <mergeCell ref="B28:B32"/>
    <mergeCell ref="C28:C32"/>
    <mergeCell ref="B33:B37"/>
    <mergeCell ref="C33:C37"/>
    <mergeCell ref="E24:E27"/>
    <mergeCell ref="E28:E32"/>
    <mergeCell ref="E33:E37"/>
    <mergeCell ref="B44:B48"/>
    <mergeCell ref="C44:C48"/>
    <mergeCell ref="B49:B53"/>
    <mergeCell ref="C49:C53"/>
    <mergeCell ref="E38:E43"/>
    <mergeCell ref="E44:E48"/>
    <mergeCell ref="E49:E53"/>
    <mergeCell ref="E64:E68"/>
    <mergeCell ref="B54:B59"/>
    <mergeCell ref="C54:C59"/>
    <mergeCell ref="B60:B63"/>
    <mergeCell ref="C60:C63"/>
    <mergeCell ref="E54:E59"/>
    <mergeCell ref="E60:E6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A970-4F8C-4471-A06F-1C3EF1DBDBA2}">
  <dimension ref="A1:E33"/>
  <sheetViews>
    <sheetView topLeftCell="A4" zoomScale="70" zoomScaleNormal="70" workbookViewId="0">
      <selection activeCell="E26" sqref="E26:E29"/>
    </sheetView>
  </sheetViews>
  <sheetFormatPr baseColWidth="10" defaultColWidth="84.33203125" defaultRowHeight="15" customHeight="1" x14ac:dyDescent="0.3"/>
  <cols>
    <col min="1" max="1" width="74.33203125" customWidth="1"/>
    <col min="2" max="2" width="43" customWidth="1"/>
    <col min="3" max="3" width="46.5546875" customWidth="1"/>
    <col min="4" max="5" width="46" customWidth="1"/>
  </cols>
  <sheetData>
    <row r="1" spans="1:5" ht="23.4" x14ac:dyDescent="0.45">
      <c r="A1" s="47" t="s">
        <v>440</v>
      </c>
      <c r="B1" s="47"/>
      <c r="C1" s="1" t="s">
        <v>17</v>
      </c>
      <c r="D1" s="1"/>
      <c r="E1" s="1"/>
    </row>
    <row r="2" spans="1:5" ht="14.4" x14ac:dyDescent="0.3">
      <c r="A2" s="1"/>
      <c r="B2" s="1"/>
      <c r="C2" s="1"/>
      <c r="D2" s="1"/>
      <c r="E2" s="1"/>
    </row>
    <row r="3" spans="1:5" ht="21" x14ac:dyDescent="0.3">
      <c r="A3" s="29" t="s">
        <v>18</v>
      </c>
      <c r="B3" s="29" t="s">
        <v>19</v>
      </c>
      <c r="C3" s="29" t="s">
        <v>20</v>
      </c>
      <c r="D3" s="30" t="s">
        <v>21</v>
      </c>
      <c r="E3" s="30" t="s">
        <v>22</v>
      </c>
    </row>
    <row r="4" spans="1:5" ht="31.2" customHeight="1" x14ac:dyDescent="0.3">
      <c r="A4" s="57" t="s">
        <v>441</v>
      </c>
      <c r="B4" s="45" t="s">
        <v>442</v>
      </c>
      <c r="C4" s="45" t="s">
        <v>443</v>
      </c>
      <c r="D4" s="14" t="s">
        <v>444</v>
      </c>
      <c r="E4" s="45" t="s">
        <v>445</v>
      </c>
    </row>
    <row r="5" spans="1:5" ht="14.4" x14ac:dyDescent="0.3">
      <c r="A5" s="57"/>
      <c r="B5" s="45"/>
      <c r="C5" s="45"/>
      <c r="D5" s="14" t="s">
        <v>446</v>
      </c>
      <c r="E5" s="45"/>
    </row>
    <row r="6" spans="1:5" ht="14.4" x14ac:dyDescent="0.3">
      <c r="A6" s="57"/>
      <c r="B6" s="45"/>
      <c r="C6" s="45"/>
      <c r="D6" s="14" t="s">
        <v>447</v>
      </c>
      <c r="E6" s="45"/>
    </row>
    <row r="7" spans="1:5" ht="14.4" x14ac:dyDescent="0.3">
      <c r="A7" s="57"/>
      <c r="B7" s="45"/>
      <c r="C7" s="45"/>
      <c r="D7" s="14" t="s">
        <v>448</v>
      </c>
      <c r="E7" s="45"/>
    </row>
    <row r="8" spans="1:5" ht="14.4" x14ac:dyDescent="0.3">
      <c r="A8" s="57"/>
      <c r="B8" s="45"/>
      <c r="C8" s="45"/>
      <c r="D8" s="14" t="s">
        <v>449</v>
      </c>
      <c r="E8" s="45"/>
    </row>
    <row r="9" spans="1:5" ht="28.8" x14ac:dyDescent="0.3">
      <c r="A9" s="57"/>
      <c r="B9" s="45" t="s">
        <v>450</v>
      </c>
      <c r="C9" s="45" t="s">
        <v>451</v>
      </c>
      <c r="D9" s="28" t="s">
        <v>452</v>
      </c>
      <c r="E9" s="45" t="s">
        <v>453</v>
      </c>
    </row>
    <row r="10" spans="1:5" ht="28.8" x14ac:dyDescent="0.3">
      <c r="A10" s="57"/>
      <c r="B10" s="45"/>
      <c r="C10" s="45"/>
      <c r="D10" s="28" t="s">
        <v>454</v>
      </c>
      <c r="E10" s="45"/>
    </row>
    <row r="11" spans="1:5" ht="28.8" x14ac:dyDescent="0.3">
      <c r="A11" s="57"/>
      <c r="B11" s="45"/>
      <c r="C11" s="45"/>
      <c r="D11" s="28" t="s">
        <v>455</v>
      </c>
      <c r="E11" s="45"/>
    </row>
    <row r="12" spans="1:5" ht="14.4" x14ac:dyDescent="0.3">
      <c r="A12" s="57"/>
      <c r="B12" s="45"/>
      <c r="C12" s="45"/>
      <c r="D12" s="28" t="s">
        <v>456</v>
      </c>
      <c r="E12" s="45"/>
    </row>
    <row r="13" spans="1:5" ht="14.4" customHeight="1" x14ac:dyDescent="0.3">
      <c r="A13" s="57"/>
      <c r="B13" s="45" t="s">
        <v>457</v>
      </c>
      <c r="C13" s="45" t="s">
        <v>458</v>
      </c>
      <c r="D13" s="14" t="s">
        <v>459</v>
      </c>
      <c r="E13" s="45" t="s">
        <v>445</v>
      </c>
    </row>
    <row r="14" spans="1:5" ht="14.4" x14ac:dyDescent="0.3">
      <c r="A14" s="57"/>
      <c r="B14" s="45"/>
      <c r="C14" s="45"/>
      <c r="D14" s="14" t="s">
        <v>460</v>
      </c>
      <c r="E14" s="45"/>
    </row>
    <row r="15" spans="1:5" ht="14.4" x14ac:dyDescent="0.3">
      <c r="A15" s="57"/>
      <c r="B15" s="45"/>
      <c r="C15" s="45"/>
      <c r="D15" s="14" t="s">
        <v>461</v>
      </c>
      <c r="E15" s="45"/>
    </row>
    <row r="16" spans="1:5" ht="14.4" x14ac:dyDescent="0.3">
      <c r="A16" s="57"/>
      <c r="B16" s="45"/>
      <c r="C16" s="45"/>
      <c r="D16" s="14" t="s">
        <v>462</v>
      </c>
      <c r="E16" s="45"/>
    </row>
    <row r="17" spans="1:5" ht="14.4" x14ac:dyDescent="0.3">
      <c r="A17" s="57"/>
      <c r="B17" s="45"/>
      <c r="C17" s="45"/>
      <c r="D17" s="14" t="s">
        <v>463</v>
      </c>
      <c r="E17" s="45"/>
    </row>
    <row r="18" spans="1:5" ht="28.8" x14ac:dyDescent="0.3">
      <c r="A18" s="57"/>
      <c r="B18" s="45" t="s">
        <v>464</v>
      </c>
      <c r="C18" s="45" t="s">
        <v>465</v>
      </c>
      <c r="D18" s="28" t="s">
        <v>466</v>
      </c>
      <c r="E18" s="45" t="s">
        <v>453</v>
      </c>
    </row>
    <row r="19" spans="1:5" ht="28.8" x14ac:dyDescent="0.3">
      <c r="A19" s="57"/>
      <c r="B19" s="45"/>
      <c r="C19" s="45"/>
      <c r="D19" s="28" t="s">
        <v>467</v>
      </c>
      <c r="E19" s="45"/>
    </row>
    <row r="20" spans="1:5" ht="14.4" x14ac:dyDescent="0.3">
      <c r="A20" s="57"/>
      <c r="B20" s="45"/>
      <c r="C20" s="45"/>
      <c r="D20" s="28" t="s">
        <v>468</v>
      </c>
      <c r="E20" s="45"/>
    </row>
    <row r="21" spans="1:5" ht="14.4" x14ac:dyDescent="0.3">
      <c r="A21" s="57"/>
      <c r="B21" s="45"/>
      <c r="C21" s="45"/>
      <c r="D21" s="28" t="s">
        <v>469</v>
      </c>
      <c r="E21" s="45"/>
    </row>
    <row r="22" spans="1:5" ht="28.8" x14ac:dyDescent="0.3">
      <c r="A22" s="57"/>
      <c r="B22" s="45" t="s">
        <v>470</v>
      </c>
      <c r="C22" s="45" t="s">
        <v>471</v>
      </c>
      <c r="D22" s="28" t="s">
        <v>472</v>
      </c>
      <c r="E22" s="45" t="s">
        <v>453</v>
      </c>
    </row>
    <row r="23" spans="1:5" ht="28.8" x14ac:dyDescent="0.3">
      <c r="A23" s="57"/>
      <c r="B23" s="45"/>
      <c r="C23" s="45"/>
      <c r="D23" s="28" t="s">
        <v>473</v>
      </c>
      <c r="E23" s="45"/>
    </row>
    <row r="24" spans="1:5" ht="14.4" x14ac:dyDescent="0.3">
      <c r="A24" s="57"/>
      <c r="B24" s="45"/>
      <c r="C24" s="45"/>
      <c r="D24" s="28" t="s">
        <v>474</v>
      </c>
      <c r="E24" s="45"/>
    </row>
    <row r="25" spans="1:5" ht="14.4" x14ac:dyDescent="0.3">
      <c r="A25" s="57"/>
      <c r="B25" s="45"/>
      <c r="C25" s="45"/>
      <c r="D25" s="28" t="s">
        <v>475</v>
      </c>
      <c r="E25" s="45"/>
    </row>
    <row r="26" spans="1:5" ht="14.4" x14ac:dyDescent="0.3">
      <c r="A26" s="57"/>
      <c r="B26" s="45" t="s">
        <v>476</v>
      </c>
      <c r="C26" s="45" t="s">
        <v>477</v>
      </c>
      <c r="D26" s="28" t="s">
        <v>478</v>
      </c>
      <c r="E26" s="45" t="s">
        <v>663</v>
      </c>
    </row>
    <row r="27" spans="1:5" ht="28.8" x14ac:dyDescent="0.3">
      <c r="A27" s="57"/>
      <c r="B27" s="45"/>
      <c r="C27" s="45"/>
      <c r="D27" s="28" t="s">
        <v>479</v>
      </c>
      <c r="E27" s="45"/>
    </row>
    <row r="28" spans="1:5" ht="14.4" x14ac:dyDescent="0.3">
      <c r="A28" s="57"/>
      <c r="B28" s="45"/>
      <c r="C28" s="45"/>
      <c r="D28" s="28" t="s">
        <v>480</v>
      </c>
      <c r="E28" s="45"/>
    </row>
    <row r="29" spans="1:5" ht="28.8" x14ac:dyDescent="0.3">
      <c r="A29" s="57"/>
      <c r="B29" s="45"/>
      <c r="C29" s="45"/>
      <c r="D29" s="28" t="s">
        <v>481</v>
      </c>
      <c r="E29" s="45"/>
    </row>
    <row r="30" spans="1:5" ht="14.4" x14ac:dyDescent="0.3">
      <c r="A30" s="4"/>
      <c r="B30" s="4"/>
      <c r="C30" s="4"/>
      <c r="D30" s="5"/>
      <c r="E30" s="5"/>
    </row>
    <row r="31" spans="1:5" ht="14.4" x14ac:dyDescent="0.3">
      <c r="A31" s="4"/>
      <c r="B31" s="4"/>
      <c r="C31" s="4"/>
      <c r="D31" s="1"/>
      <c r="E31" s="1"/>
    </row>
    <row r="32" spans="1:5" ht="14.4" x14ac:dyDescent="0.3">
      <c r="A32" s="4"/>
      <c r="B32" s="4"/>
      <c r="C32" s="4"/>
      <c r="D32" s="1"/>
      <c r="E32" s="1"/>
    </row>
    <row r="33" spans="2:4" ht="14.4" x14ac:dyDescent="0.3">
      <c r="B33">
        <f>COUNTA(B4:B29)</f>
        <v>6</v>
      </c>
      <c r="D33">
        <f t="shared" ref="D33" si="0">COUNTA(D4:D29)</f>
        <v>26</v>
      </c>
    </row>
  </sheetData>
  <mergeCells count="20">
    <mergeCell ref="B22:B25"/>
    <mergeCell ref="C22:C25"/>
    <mergeCell ref="E18:E21"/>
    <mergeCell ref="E22:E25"/>
    <mergeCell ref="E4:E8"/>
    <mergeCell ref="E9:E12"/>
    <mergeCell ref="E13:E17"/>
    <mergeCell ref="A1:B1"/>
    <mergeCell ref="A4:A29"/>
    <mergeCell ref="B4:B8"/>
    <mergeCell ref="C4:C8"/>
    <mergeCell ref="B9:B12"/>
    <mergeCell ref="C9:C12"/>
    <mergeCell ref="B13:B17"/>
    <mergeCell ref="C13:C17"/>
    <mergeCell ref="B26:B29"/>
    <mergeCell ref="C26:C29"/>
    <mergeCell ref="B18:B21"/>
    <mergeCell ref="C18:C21"/>
    <mergeCell ref="E26:E2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C58BE-AE5D-4F5A-B60C-AFDA87DCE0C4}">
  <dimension ref="A1:E47"/>
  <sheetViews>
    <sheetView zoomScale="80" zoomScaleNormal="80" workbookViewId="0">
      <selection activeCell="A2" sqref="A2:E44"/>
    </sheetView>
  </sheetViews>
  <sheetFormatPr baseColWidth="10" defaultColWidth="53.33203125" defaultRowHeight="14.4" x14ac:dyDescent="0.3"/>
  <cols>
    <col min="2" max="3" width="36.33203125" customWidth="1"/>
    <col min="4" max="4" width="49.88671875" customWidth="1"/>
    <col min="5" max="5" width="25.33203125" customWidth="1"/>
    <col min="6" max="14" width="36.33203125" customWidth="1"/>
  </cols>
  <sheetData>
    <row r="1" spans="1:5" ht="42" x14ac:dyDescent="0.3">
      <c r="A1" s="2" t="s">
        <v>18</v>
      </c>
      <c r="B1" s="2" t="s">
        <v>19</v>
      </c>
      <c r="C1" s="15" t="s">
        <v>20</v>
      </c>
      <c r="D1" s="3" t="s">
        <v>21</v>
      </c>
      <c r="E1" s="2" t="s">
        <v>22</v>
      </c>
    </row>
    <row r="2" spans="1:5" ht="28.8" x14ac:dyDescent="0.3">
      <c r="A2" s="52" t="s">
        <v>482</v>
      </c>
      <c r="B2" s="87" t="s">
        <v>483</v>
      </c>
      <c r="C2" s="45" t="s">
        <v>484</v>
      </c>
      <c r="D2" s="28" t="s">
        <v>485</v>
      </c>
      <c r="E2" s="50" t="s">
        <v>639</v>
      </c>
    </row>
    <row r="3" spans="1:5" x14ac:dyDescent="0.3">
      <c r="A3" s="52"/>
      <c r="B3" s="87"/>
      <c r="C3" s="45"/>
      <c r="D3" s="28" t="s">
        <v>487</v>
      </c>
      <c r="E3" s="50"/>
    </row>
    <row r="4" spans="1:5" x14ac:dyDescent="0.3">
      <c r="A4" s="52"/>
      <c r="B4" s="87"/>
      <c r="C4" s="45"/>
      <c r="D4" s="28" t="s">
        <v>488</v>
      </c>
      <c r="E4" s="50"/>
    </row>
    <row r="5" spans="1:5" ht="28.8" x14ac:dyDescent="0.3">
      <c r="A5" s="52"/>
      <c r="B5" s="87"/>
      <c r="C5" s="45"/>
      <c r="D5" s="28" t="s">
        <v>489</v>
      </c>
      <c r="E5" s="50"/>
    </row>
    <row r="6" spans="1:5" x14ac:dyDescent="0.3">
      <c r="A6" s="52"/>
      <c r="B6" s="87" t="s">
        <v>490</v>
      </c>
      <c r="C6" s="45" t="s">
        <v>491</v>
      </c>
      <c r="D6" s="28" t="s">
        <v>492</v>
      </c>
      <c r="E6" s="50" t="s">
        <v>639</v>
      </c>
    </row>
    <row r="7" spans="1:5" x14ac:dyDescent="0.3">
      <c r="A7" s="52"/>
      <c r="B7" s="87"/>
      <c r="C7" s="45"/>
      <c r="D7" s="28" t="s">
        <v>493</v>
      </c>
      <c r="E7" s="50"/>
    </row>
    <row r="8" spans="1:5" x14ac:dyDescent="0.3">
      <c r="A8" s="52"/>
      <c r="B8" s="87"/>
      <c r="C8" s="45"/>
      <c r="D8" s="28" t="s">
        <v>494</v>
      </c>
      <c r="E8" s="50"/>
    </row>
    <row r="9" spans="1:5" ht="28.8" x14ac:dyDescent="0.3">
      <c r="A9" s="52"/>
      <c r="B9" s="87"/>
      <c r="C9" s="45"/>
      <c r="D9" s="28" t="s">
        <v>495</v>
      </c>
      <c r="E9" s="50"/>
    </row>
    <row r="10" spans="1:5" ht="28.8" x14ac:dyDescent="0.3">
      <c r="A10" s="52"/>
      <c r="B10" s="87" t="s">
        <v>496</v>
      </c>
      <c r="C10" s="45" t="s">
        <v>497</v>
      </c>
      <c r="D10" s="28" t="s">
        <v>498</v>
      </c>
      <c r="E10" s="50" t="s">
        <v>486</v>
      </c>
    </row>
    <row r="11" spans="1:5" ht="28.8" x14ac:dyDescent="0.3">
      <c r="A11" s="52"/>
      <c r="B11" s="87"/>
      <c r="C11" s="45"/>
      <c r="D11" s="28" t="s">
        <v>499</v>
      </c>
      <c r="E11" s="50"/>
    </row>
    <row r="12" spans="1:5" ht="43.2" x14ac:dyDescent="0.3">
      <c r="A12" s="52"/>
      <c r="B12" s="87"/>
      <c r="C12" s="45"/>
      <c r="D12" s="28" t="s">
        <v>500</v>
      </c>
      <c r="E12" s="50"/>
    </row>
    <row r="13" spans="1:5" ht="28.8" x14ac:dyDescent="0.3">
      <c r="A13" s="52"/>
      <c r="B13" s="87"/>
      <c r="C13" s="45"/>
      <c r="D13" s="28" t="s">
        <v>501</v>
      </c>
      <c r="E13" s="50"/>
    </row>
    <row r="14" spans="1:5" ht="43.2" x14ac:dyDescent="0.3">
      <c r="A14" s="52"/>
      <c r="B14" s="87"/>
      <c r="C14" s="45"/>
      <c r="D14" s="28" t="s">
        <v>502</v>
      </c>
      <c r="E14" s="50"/>
    </row>
    <row r="15" spans="1:5" ht="43.2" x14ac:dyDescent="0.3">
      <c r="A15" s="52"/>
      <c r="B15" s="87" t="s">
        <v>503</v>
      </c>
      <c r="C15" s="45" t="s">
        <v>504</v>
      </c>
      <c r="D15" s="28" t="s">
        <v>505</v>
      </c>
      <c r="E15" s="50" t="s">
        <v>486</v>
      </c>
    </row>
    <row r="16" spans="1:5" ht="57.6" x14ac:dyDescent="0.3">
      <c r="A16" s="52"/>
      <c r="B16" s="87"/>
      <c r="C16" s="45"/>
      <c r="D16" s="28" t="s">
        <v>506</v>
      </c>
      <c r="E16" s="50"/>
    </row>
    <row r="17" spans="1:5" ht="43.2" x14ac:dyDescent="0.3">
      <c r="A17" s="52"/>
      <c r="B17" s="87"/>
      <c r="C17" s="45"/>
      <c r="D17" s="28" t="s">
        <v>507</v>
      </c>
      <c r="E17" s="50"/>
    </row>
    <row r="18" spans="1:5" ht="43.2" x14ac:dyDescent="0.3">
      <c r="A18" s="52"/>
      <c r="B18" s="87"/>
      <c r="C18" s="45"/>
      <c r="D18" s="28" t="s">
        <v>508</v>
      </c>
      <c r="E18" s="50"/>
    </row>
    <row r="19" spans="1:5" ht="57.6" x14ac:dyDescent="0.3">
      <c r="A19" s="52"/>
      <c r="B19" s="87" t="s">
        <v>509</v>
      </c>
      <c r="C19" s="45" t="s">
        <v>510</v>
      </c>
      <c r="D19" s="28" t="s">
        <v>511</v>
      </c>
      <c r="E19" s="50" t="s">
        <v>486</v>
      </c>
    </row>
    <row r="20" spans="1:5" ht="43.2" x14ac:dyDescent="0.3">
      <c r="A20" s="52"/>
      <c r="B20" s="87"/>
      <c r="C20" s="45"/>
      <c r="D20" s="28" t="s">
        <v>512</v>
      </c>
      <c r="E20" s="50"/>
    </row>
    <row r="21" spans="1:5" ht="72" x14ac:dyDescent="0.3">
      <c r="A21" s="52"/>
      <c r="B21" s="87"/>
      <c r="C21" s="45"/>
      <c r="D21" s="28" t="s">
        <v>513</v>
      </c>
      <c r="E21" s="50"/>
    </row>
    <row r="22" spans="1:5" ht="57.6" x14ac:dyDescent="0.3">
      <c r="A22" s="52"/>
      <c r="B22" s="87"/>
      <c r="C22" s="45"/>
      <c r="D22" s="28" t="s">
        <v>514</v>
      </c>
      <c r="E22" s="50"/>
    </row>
    <row r="23" spans="1:5" x14ac:dyDescent="0.3">
      <c r="A23" s="52"/>
      <c r="B23" s="87" t="s">
        <v>515</v>
      </c>
      <c r="C23" s="45" t="s">
        <v>516</v>
      </c>
      <c r="D23" s="28" t="s">
        <v>517</v>
      </c>
      <c r="E23" s="50" t="s">
        <v>486</v>
      </c>
    </row>
    <row r="24" spans="1:5" x14ac:dyDescent="0.3">
      <c r="A24" s="52"/>
      <c r="B24" s="87"/>
      <c r="C24" s="45"/>
      <c r="D24" s="28" t="s">
        <v>518</v>
      </c>
      <c r="E24" s="50"/>
    </row>
    <row r="25" spans="1:5" x14ac:dyDescent="0.3">
      <c r="A25" s="52"/>
      <c r="B25" s="87"/>
      <c r="C25" s="45"/>
      <c r="D25" s="28" t="s">
        <v>519</v>
      </c>
      <c r="E25" s="50"/>
    </row>
    <row r="26" spans="1:5" ht="28.8" x14ac:dyDescent="0.3">
      <c r="A26" s="52"/>
      <c r="B26" s="87"/>
      <c r="C26" s="45"/>
      <c r="D26" s="28" t="s">
        <v>520</v>
      </c>
      <c r="E26" s="50"/>
    </row>
    <row r="27" spans="1:5" x14ac:dyDescent="0.3">
      <c r="A27" s="52"/>
      <c r="B27" s="87" t="s">
        <v>521</v>
      </c>
      <c r="C27" s="45" t="s">
        <v>522</v>
      </c>
      <c r="D27" s="28" t="s">
        <v>523</v>
      </c>
      <c r="E27" s="50" t="s">
        <v>486</v>
      </c>
    </row>
    <row r="28" spans="1:5" x14ac:dyDescent="0.3">
      <c r="A28" s="52"/>
      <c r="B28" s="87"/>
      <c r="C28" s="45"/>
      <c r="D28" s="28" t="s">
        <v>524</v>
      </c>
      <c r="E28" s="50"/>
    </row>
    <row r="29" spans="1:5" x14ac:dyDescent="0.3">
      <c r="A29" s="52"/>
      <c r="B29" s="87"/>
      <c r="C29" s="45"/>
      <c r="D29" s="28" t="s">
        <v>525</v>
      </c>
      <c r="E29" s="50"/>
    </row>
    <row r="30" spans="1:5" ht="28.8" x14ac:dyDescent="0.3">
      <c r="A30" s="52"/>
      <c r="B30" s="87"/>
      <c r="C30" s="45"/>
      <c r="D30" s="28" t="s">
        <v>526</v>
      </c>
      <c r="E30" s="50"/>
    </row>
    <row r="31" spans="1:5" x14ac:dyDescent="0.3">
      <c r="A31" s="52"/>
      <c r="B31" s="87" t="s">
        <v>527</v>
      </c>
      <c r="C31" s="45" t="s">
        <v>528</v>
      </c>
      <c r="D31" s="28" t="s">
        <v>529</v>
      </c>
      <c r="E31" s="50" t="s">
        <v>639</v>
      </c>
    </row>
    <row r="32" spans="1:5" x14ac:dyDescent="0.3">
      <c r="A32" s="52"/>
      <c r="B32" s="87"/>
      <c r="C32" s="45"/>
      <c r="D32" s="28" t="s">
        <v>530</v>
      </c>
      <c r="E32" s="50"/>
    </row>
    <row r="33" spans="1:5" x14ac:dyDescent="0.3">
      <c r="A33" s="52"/>
      <c r="B33" s="87"/>
      <c r="C33" s="45"/>
      <c r="D33" s="28" t="s">
        <v>531</v>
      </c>
      <c r="E33" s="50"/>
    </row>
    <row r="34" spans="1:5" x14ac:dyDescent="0.3">
      <c r="A34" s="52"/>
      <c r="B34" s="87"/>
      <c r="C34" s="45"/>
      <c r="D34" s="28" t="s">
        <v>532</v>
      </c>
      <c r="E34" s="50"/>
    </row>
    <row r="35" spans="1:5" x14ac:dyDescent="0.3">
      <c r="A35" s="52"/>
      <c r="B35" s="87"/>
      <c r="C35" s="45"/>
      <c r="D35" s="28" t="s">
        <v>533</v>
      </c>
      <c r="E35" s="50"/>
    </row>
    <row r="36" spans="1:5" x14ac:dyDescent="0.3">
      <c r="A36" s="52"/>
      <c r="B36" s="87" t="s">
        <v>534</v>
      </c>
      <c r="C36" s="45" t="s">
        <v>535</v>
      </c>
      <c r="D36" s="28" t="s">
        <v>536</v>
      </c>
      <c r="E36" s="50" t="s">
        <v>639</v>
      </c>
    </row>
    <row r="37" spans="1:5" x14ac:dyDescent="0.3">
      <c r="A37" s="52"/>
      <c r="B37" s="87"/>
      <c r="C37" s="45"/>
      <c r="D37" s="28" t="s">
        <v>537</v>
      </c>
      <c r="E37" s="50"/>
    </row>
    <row r="38" spans="1:5" x14ac:dyDescent="0.3">
      <c r="A38" s="52"/>
      <c r="B38" s="87"/>
      <c r="C38" s="45"/>
      <c r="D38" s="28" t="s">
        <v>538</v>
      </c>
      <c r="E38" s="50"/>
    </row>
    <row r="39" spans="1:5" x14ac:dyDescent="0.3">
      <c r="A39" s="52"/>
      <c r="B39" s="87"/>
      <c r="C39" s="45"/>
      <c r="D39" s="28" t="s">
        <v>539</v>
      </c>
      <c r="E39" s="50"/>
    </row>
    <row r="40" spans="1:5" x14ac:dyDescent="0.3">
      <c r="A40" s="52"/>
      <c r="B40" s="87"/>
      <c r="C40" s="45"/>
      <c r="D40" s="28" t="s">
        <v>540</v>
      </c>
      <c r="E40" s="50"/>
    </row>
    <row r="41" spans="1:5" ht="28.8" x14ac:dyDescent="0.3">
      <c r="A41" s="52"/>
      <c r="B41" s="87" t="s">
        <v>541</v>
      </c>
      <c r="C41" s="45" t="s">
        <v>542</v>
      </c>
      <c r="D41" s="28" t="s">
        <v>543</v>
      </c>
      <c r="E41" s="50" t="s">
        <v>486</v>
      </c>
    </row>
    <row r="42" spans="1:5" x14ac:dyDescent="0.3">
      <c r="A42" s="52"/>
      <c r="B42" s="87"/>
      <c r="C42" s="45"/>
      <c r="D42" s="28" t="s">
        <v>544</v>
      </c>
      <c r="E42" s="50"/>
    </row>
    <row r="43" spans="1:5" x14ac:dyDescent="0.3">
      <c r="A43" s="52"/>
      <c r="B43" s="87"/>
      <c r="C43" s="45"/>
      <c r="D43" s="28" t="s">
        <v>545</v>
      </c>
      <c r="E43" s="50"/>
    </row>
    <row r="44" spans="1:5" x14ac:dyDescent="0.3">
      <c r="A44" s="52"/>
      <c r="B44" s="87"/>
      <c r="C44" s="45"/>
      <c r="D44" s="28" t="s">
        <v>546</v>
      </c>
      <c r="E44" s="50"/>
    </row>
    <row r="47" spans="1:5" x14ac:dyDescent="0.3">
      <c r="B47">
        <f>COUNTA(B2:B44)</f>
        <v>10</v>
      </c>
      <c r="D47">
        <f t="shared" ref="D47" si="0">COUNTA(D2:D44)</f>
        <v>43</v>
      </c>
    </row>
  </sheetData>
  <mergeCells count="31">
    <mergeCell ref="A2:A44"/>
    <mergeCell ref="B2:B5"/>
    <mergeCell ref="C2:C5"/>
    <mergeCell ref="B6:B9"/>
    <mergeCell ref="C6:C9"/>
    <mergeCell ref="B10:B14"/>
    <mergeCell ref="C10:C14"/>
    <mergeCell ref="B15:B18"/>
    <mergeCell ref="C15:C18"/>
    <mergeCell ref="B19:B22"/>
    <mergeCell ref="C19:C22"/>
    <mergeCell ref="B23:B26"/>
    <mergeCell ref="C23:C26"/>
    <mergeCell ref="B27:B30"/>
    <mergeCell ref="C27:C30"/>
    <mergeCell ref="E23:E26"/>
    <mergeCell ref="E27:E30"/>
    <mergeCell ref="B41:B44"/>
    <mergeCell ref="C41:C44"/>
    <mergeCell ref="B31:B35"/>
    <mergeCell ref="C31:C35"/>
    <mergeCell ref="B36:B40"/>
    <mergeCell ref="C36:C40"/>
    <mergeCell ref="E31:E35"/>
    <mergeCell ref="E36:E40"/>
    <mergeCell ref="E41:E44"/>
    <mergeCell ref="E2:E5"/>
    <mergeCell ref="E6:E9"/>
    <mergeCell ref="E10:E14"/>
    <mergeCell ref="E15:E18"/>
    <mergeCell ref="E19:E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64B6-5DB3-4F8E-A236-F5DE9FE7DEAF}">
  <dimension ref="A1:E26"/>
  <sheetViews>
    <sheetView zoomScale="80" zoomScaleNormal="80" workbookViewId="0">
      <selection activeCell="A4" sqref="A4:E23"/>
    </sheetView>
  </sheetViews>
  <sheetFormatPr baseColWidth="10" defaultColWidth="84.33203125" defaultRowHeight="15" customHeight="1" x14ac:dyDescent="0.3"/>
  <cols>
    <col min="1" max="1" width="74.33203125" customWidth="1"/>
    <col min="2" max="2" width="33.6640625" customWidth="1"/>
    <col min="3" max="3" width="50.33203125" customWidth="1"/>
    <col min="4" max="5" width="41.109375" customWidth="1"/>
  </cols>
  <sheetData>
    <row r="1" spans="1:5" ht="23.4" x14ac:dyDescent="0.45">
      <c r="A1" s="47" t="s">
        <v>547</v>
      </c>
      <c r="B1" s="47"/>
      <c r="C1" s="1" t="s">
        <v>17</v>
      </c>
      <c r="D1" s="1"/>
      <c r="E1" s="1"/>
    </row>
    <row r="2" spans="1:5" ht="14.4" x14ac:dyDescent="0.3">
      <c r="A2" s="1"/>
      <c r="B2" s="1"/>
      <c r="C2" s="1"/>
      <c r="D2" s="1"/>
      <c r="E2" s="1"/>
    </row>
    <row r="3" spans="1:5" ht="21" x14ac:dyDescent="0.3">
      <c r="A3" s="29" t="s">
        <v>18</v>
      </c>
      <c r="B3" s="29" t="s">
        <v>19</v>
      </c>
      <c r="C3" s="29" t="s">
        <v>20</v>
      </c>
      <c r="D3" s="30" t="s">
        <v>21</v>
      </c>
      <c r="E3" s="30" t="s">
        <v>22</v>
      </c>
    </row>
    <row r="4" spans="1:5" ht="28.8" x14ac:dyDescent="0.3">
      <c r="A4" s="45" t="s">
        <v>548</v>
      </c>
      <c r="B4" s="45" t="s">
        <v>549</v>
      </c>
      <c r="C4" s="45" t="s">
        <v>550</v>
      </c>
      <c r="D4" s="28" t="s">
        <v>551</v>
      </c>
      <c r="E4" s="45" t="s">
        <v>552</v>
      </c>
    </row>
    <row r="5" spans="1:5" ht="28.8" x14ac:dyDescent="0.3">
      <c r="A5" s="45"/>
      <c r="B5" s="45"/>
      <c r="C5" s="45"/>
      <c r="D5" s="28" t="s">
        <v>553</v>
      </c>
      <c r="E5" s="45"/>
    </row>
    <row r="6" spans="1:5" ht="14.4" x14ac:dyDescent="0.3">
      <c r="A6" s="45"/>
      <c r="B6" s="45"/>
      <c r="C6" s="45"/>
      <c r="D6" s="28" t="s">
        <v>554</v>
      </c>
      <c r="E6" s="45"/>
    </row>
    <row r="7" spans="1:5" ht="28.8" x14ac:dyDescent="0.3">
      <c r="A7" s="45"/>
      <c r="B7" s="45"/>
      <c r="C7" s="45"/>
      <c r="D7" s="28" t="s">
        <v>555</v>
      </c>
      <c r="E7" s="45"/>
    </row>
    <row r="8" spans="1:5" ht="28.8" x14ac:dyDescent="0.3">
      <c r="A8" s="45"/>
      <c r="B8" s="87" t="s">
        <v>556</v>
      </c>
      <c r="C8" s="87" t="s">
        <v>557</v>
      </c>
      <c r="D8" s="28" t="s">
        <v>558</v>
      </c>
      <c r="E8" s="45" t="s">
        <v>559</v>
      </c>
    </row>
    <row r="9" spans="1:5" ht="28.8" x14ac:dyDescent="0.3">
      <c r="A9" s="45"/>
      <c r="B9" s="87"/>
      <c r="C9" s="87"/>
      <c r="D9" s="28" t="s">
        <v>560</v>
      </c>
      <c r="E9" s="45"/>
    </row>
    <row r="10" spans="1:5" ht="14.4" x14ac:dyDescent="0.3">
      <c r="A10" s="45"/>
      <c r="B10" s="87"/>
      <c r="C10" s="87"/>
      <c r="D10" s="28" t="s">
        <v>561</v>
      </c>
      <c r="E10" s="45"/>
    </row>
    <row r="11" spans="1:5" ht="28.8" x14ac:dyDescent="0.3">
      <c r="A11" s="45"/>
      <c r="B11" s="87"/>
      <c r="C11" s="87"/>
      <c r="D11" s="28" t="s">
        <v>562</v>
      </c>
      <c r="E11" s="45"/>
    </row>
    <row r="12" spans="1:5" ht="14.4" x14ac:dyDescent="0.3">
      <c r="A12" s="45"/>
      <c r="B12" s="87" t="s">
        <v>563</v>
      </c>
      <c r="C12" s="87" t="s">
        <v>564</v>
      </c>
      <c r="D12" s="28" t="s">
        <v>565</v>
      </c>
      <c r="E12" s="46" t="s">
        <v>566</v>
      </c>
    </row>
    <row r="13" spans="1:5" ht="28.8" x14ac:dyDescent="0.3">
      <c r="A13" s="45"/>
      <c r="B13" s="87"/>
      <c r="C13" s="87"/>
      <c r="D13" s="28" t="s">
        <v>567</v>
      </c>
      <c r="E13" s="46"/>
    </row>
    <row r="14" spans="1:5" ht="28.8" x14ac:dyDescent="0.3">
      <c r="A14" s="45"/>
      <c r="B14" s="87"/>
      <c r="C14" s="87"/>
      <c r="D14" s="28" t="s">
        <v>568</v>
      </c>
      <c r="E14" s="46"/>
    </row>
    <row r="15" spans="1:5" ht="28.8" x14ac:dyDescent="0.3">
      <c r="A15" s="45"/>
      <c r="B15" s="87"/>
      <c r="C15" s="87"/>
      <c r="D15" s="28" t="s">
        <v>569</v>
      </c>
      <c r="E15" s="46"/>
    </row>
    <row r="16" spans="1:5" ht="14.4" x14ac:dyDescent="0.3">
      <c r="A16" s="45"/>
      <c r="B16" s="87" t="s">
        <v>570</v>
      </c>
      <c r="C16" s="87" t="s">
        <v>571</v>
      </c>
      <c r="D16" s="28" t="s">
        <v>572</v>
      </c>
      <c r="E16" s="45" t="s">
        <v>573</v>
      </c>
    </row>
    <row r="17" spans="1:5" ht="28.8" x14ac:dyDescent="0.3">
      <c r="A17" s="45"/>
      <c r="B17" s="87"/>
      <c r="C17" s="87"/>
      <c r="D17" s="28" t="s">
        <v>574</v>
      </c>
      <c r="E17" s="45"/>
    </row>
    <row r="18" spans="1:5" ht="28.8" x14ac:dyDescent="0.3">
      <c r="A18" s="45"/>
      <c r="B18" s="87"/>
      <c r="C18" s="87"/>
      <c r="D18" s="28" t="s">
        <v>575</v>
      </c>
      <c r="E18" s="45"/>
    </row>
    <row r="19" spans="1:5" ht="28.8" x14ac:dyDescent="0.3">
      <c r="A19" s="45"/>
      <c r="B19" s="87"/>
      <c r="C19" s="87"/>
      <c r="D19" s="28" t="s">
        <v>576</v>
      </c>
      <c r="E19" s="45"/>
    </row>
    <row r="20" spans="1:5" ht="28.8" x14ac:dyDescent="0.3">
      <c r="A20" s="45"/>
      <c r="B20" s="87" t="s">
        <v>577</v>
      </c>
      <c r="C20" s="87" t="s">
        <v>578</v>
      </c>
      <c r="D20" s="28" t="s">
        <v>579</v>
      </c>
      <c r="E20" s="45" t="s">
        <v>580</v>
      </c>
    </row>
    <row r="21" spans="1:5" ht="28.8" x14ac:dyDescent="0.3">
      <c r="A21" s="45"/>
      <c r="B21" s="87"/>
      <c r="C21" s="87"/>
      <c r="D21" s="28" t="s">
        <v>581</v>
      </c>
      <c r="E21" s="45"/>
    </row>
    <row r="22" spans="1:5" ht="14.4" x14ac:dyDescent="0.3">
      <c r="A22" s="45"/>
      <c r="B22" s="87"/>
      <c r="C22" s="87"/>
      <c r="D22" s="28" t="s">
        <v>582</v>
      </c>
      <c r="E22" s="45"/>
    </row>
    <row r="23" spans="1:5" ht="14.4" x14ac:dyDescent="0.3">
      <c r="A23" s="45"/>
      <c r="B23" s="87"/>
      <c r="C23" s="87"/>
      <c r="D23" s="28" t="s">
        <v>583</v>
      </c>
      <c r="E23" s="45"/>
    </row>
    <row r="24" spans="1:5" ht="14.4" x14ac:dyDescent="0.3">
      <c r="A24" s="4"/>
      <c r="B24" s="4"/>
      <c r="C24" s="4"/>
      <c r="D24" s="5"/>
      <c r="E24" s="5"/>
    </row>
    <row r="25" spans="1:5" ht="14.4" x14ac:dyDescent="0.3">
      <c r="A25" s="4"/>
      <c r="B25" s="4"/>
      <c r="C25" s="4"/>
      <c r="D25" s="1"/>
      <c r="E25" s="1"/>
    </row>
    <row r="26" spans="1:5" ht="14.4" x14ac:dyDescent="0.3">
      <c r="A26" s="4"/>
      <c r="B26" s="4">
        <f>COUNTA(B4:B23)</f>
        <v>5</v>
      </c>
      <c r="C26" s="4"/>
      <c r="D26" s="4">
        <f t="shared" ref="D26" si="0">COUNTA(D4:D23)</f>
        <v>20</v>
      </c>
      <c r="E26" s="4"/>
    </row>
  </sheetData>
  <mergeCells count="17">
    <mergeCell ref="E4:E7"/>
    <mergeCell ref="E8:E11"/>
    <mergeCell ref="E12:E15"/>
    <mergeCell ref="E16:E19"/>
    <mergeCell ref="E20:E23"/>
    <mergeCell ref="B20:B23"/>
    <mergeCell ref="C20:C23"/>
    <mergeCell ref="A1:B1"/>
    <mergeCell ref="A4:A23"/>
    <mergeCell ref="B4:B7"/>
    <mergeCell ref="C4:C7"/>
    <mergeCell ref="B8:B11"/>
    <mergeCell ref="C8:C11"/>
    <mergeCell ref="B12:B15"/>
    <mergeCell ref="C12:C15"/>
    <mergeCell ref="B16:B19"/>
    <mergeCell ref="C16:C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3930-CE07-4748-8827-020C6D7CCBA7}">
  <dimension ref="A2:E31"/>
  <sheetViews>
    <sheetView zoomScale="80" zoomScaleNormal="80" workbookViewId="0">
      <selection activeCell="E13" sqref="E13:E16"/>
    </sheetView>
  </sheetViews>
  <sheetFormatPr baseColWidth="10" defaultColWidth="53.33203125" defaultRowHeight="15" customHeight="1" x14ac:dyDescent="0.3"/>
  <cols>
    <col min="1" max="1" width="66" customWidth="1"/>
    <col min="2" max="2" width="43.6640625" customWidth="1"/>
    <col min="3" max="3" width="37.33203125" customWidth="1"/>
    <col min="4" max="5" width="36.109375" customWidth="1"/>
  </cols>
  <sheetData>
    <row r="2" spans="1:5" ht="23.4" x14ac:dyDescent="0.45">
      <c r="A2" s="47" t="s">
        <v>584</v>
      </c>
      <c r="B2" s="47"/>
      <c r="C2" s="1" t="s">
        <v>17</v>
      </c>
      <c r="D2" s="1"/>
      <c r="E2" s="1"/>
    </row>
    <row r="3" spans="1:5" ht="14.4" x14ac:dyDescent="0.3">
      <c r="A3" s="1"/>
      <c r="B3" s="1"/>
      <c r="C3" s="1"/>
      <c r="D3" s="1"/>
      <c r="E3" s="1"/>
    </row>
    <row r="4" spans="1:5" ht="21" x14ac:dyDescent="0.3">
      <c r="A4" s="29" t="s">
        <v>18</v>
      </c>
      <c r="B4" s="29" t="s">
        <v>19</v>
      </c>
      <c r="C4" s="31" t="s">
        <v>20</v>
      </c>
      <c r="D4" s="30" t="s">
        <v>21</v>
      </c>
      <c r="E4" s="30" t="s">
        <v>22</v>
      </c>
    </row>
    <row r="5" spans="1:5" ht="43.2" x14ac:dyDescent="0.3">
      <c r="A5" s="49" t="s">
        <v>585</v>
      </c>
      <c r="B5" s="45" t="s">
        <v>586</v>
      </c>
      <c r="C5" s="45" t="s">
        <v>587</v>
      </c>
      <c r="D5" s="28" t="s">
        <v>588</v>
      </c>
      <c r="E5" s="57" t="s">
        <v>589</v>
      </c>
    </row>
    <row r="6" spans="1:5" ht="43.2" x14ac:dyDescent="0.3">
      <c r="A6" s="49"/>
      <c r="B6" s="45"/>
      <c r="C6" s="45"/>
      <c r="D6" s="28" t="s">
        <v>590</v>
      </c>
      <c r="E6" s="57"/>
    </row>
    <row r="7" spans="1:5" ht="28.8" x14ac:dyDescent="0.3">
      <c r="A7" s="49"/>
      <c r="B7" s="45"/>
      <c r="C7" s="45"/>
      <c r="D7" s="28" t="s">
        <v>591</v>
      </c>
      <c r="E7" s="57"/>
    </row>
    <row r="8" spans="1:5" ht="28.8" x14ac:dyDescent="0.3">
      <c r="A8" s="49"/>
      <c r="B8" s="45"/>
      <c r="C8" s="45"/>
      <c r="D8" s="28" t="s">
        <v>592</v>
      </c>
      <c r="E8" s="57"/>
    </row>
    <row r="9" spans="1:5" ht="28.8" x14ac:dyDescent="0.3">
      <c r="A9" s="49"/>
      <c r="B9" s="87" t="s">
        <v>593</v>
      </c>
      <c r="C9" s="45" t="s">
        <v>594</v>
      </c>
      <c r="D9" s="26" t="s">
        <v>595</v>
      </c>
      <c r="E9" s="57" t="s">
        <v>589</v>
      </c>
    </row>
    <row r="10" spans="1:5" ht="28.8" x14ac:dyDescent="0.3">
      <c r="A10" s="49"/>
      <c r="B10" s="87"/>
      <c r="C10" s="45"/>
      <c r="D10" s="26" t="s">
        <v>596</v>
      </c>
      <c r="E10" s="57"/>
    </row>
    <row r="11" spans="1:5" ht="28.8" x14ac:dyDescent="0.3">
      <c r="A11" s="49"/>
      <c r="B11" s="87"/>
      <c r="C11" s="45"/>
      <c r="D11" s="26" t="s">
        <v>597</v>
      </c>
      <c r="E11" s="57"/>
    </row>
    <row r="12" spans="1:5" ht="28.8" x14ac:dyDescent="0.3">
      <c r="A12" s="49"/>
      <c r="B12" s="87"/>
      <c r="C12" s="45"/>
      <c r="D12" s="26" t="s">
        <v>598</v>
      </c>
      <c r="E12" s="57"/>
    </row>
    <row r="13" spans="1:5" ht="28.8" x14ac:dyDescent="0.3">
      <c r="A13" s="49"/>
      <c r="B13" s="87" t="s">
        <v>599</v>
      </c>
      <c r="C13" s="45" t="s">
        <v>600</v>
      </c>
      <c r="D13" s="26" t="s">
        <v>601</v>
      </c>
      <c r="E13" s="57" t="s">
        <v>589</v>
      </c>
    </row>
    <row r="14" spans="1:5" ht="28.8" x14ac:dyDescent="0.3">
      <c r="A14" s="49"/>
      <c r="B14" s="87"/>
      <c r="C14" s="45"/>
      <c r="D14" s="26" t="s">
        <v>602</v>
      </c>
      <c r="E14" s="57"/>
    </row>
    <row r="15" spans="1:5" ht="28.8" x14ac:dyDescent="0.3">
      <c r="A15" s="49"/>
      <c r="B15" s="87"/>
      <c r="C15" s="45"/>
      <c r="D15" s="26" t="s">
        <v>603</v>
      </c>
      <c r="E15" s="57"/>
    </row>
    <row r="16" spans="1:5" ht="28.8" x14ac:dyDescent="0.3">
      <c r="A16" s="49"/>
      <c r="B16" s="87"/>
      <c r="C16" s="45"/>
      <c r="D16" s="26" t="s">
        <v>604</v>
      </c>
      <c r="E16" s="57"/>
    </row>
    <row r="17" spans="1:5" ht="28.8" x14ac:dyDescent="0.3">
      <c r="A17" s="49"/>
      <c r="B17" s="87" t="s">
        <v>605</v>
      </c>
      <c r="C17" s="45" t="s">
        <v>606</v>
      </c>
      <c r="D17" s="26" t="s">
        <v>607</v>
      </c>
      <c r="E17" s="57" t="s">
        <v>589</v>
      </c>
    </row>
    <row r="18" spans="1:5" ht="28.8" x14ac:dyDescent="0.3">
      <c r="A18" s="49"/>
      <c r="B18" s="87"/>
      <c r="C18" s="45"/>
      <c r="D18" s="26" t="s">
        <v>608</v>
      </c>
      <c r="E18" s="57"/>
    </row>
    <row r="19" spans="1:5" ht="14.4" x14ac:dyDescent="0.3">
      <c r="A19" s="49"/>
      <c r="B19" s="87"/>
      <c r="C19" s="45"/>
      <c r="D19" s="26" t="s">
        <v>609</v>
      </c>
      <c r="E19" s="57"/>
    </row>
    <row r="20" spans="1:5" ht="14.4" x14ac:dyDescent="0.3">
      <c r="A20" s="49"/>
      <c r="B20" s="87"/>
      <c r="C20" s="45"/>
      <c r="D20" s="26" t="s">
        <v>610</v>
      </c>
      <c r="E20" s="57"/>
    </row>
    <row r="21" spans="1:5" ht="28.8" x14ac:dyDescent="0.3">
      <c r="A21" s="49"/>
      <c r="B21" s="87" t="s">
        <v>611</v>
      </c>
      <c r="C21" s="45" t="s">
        <v>612</v>
      </c>
      <c r="D21" s="28" t="s">
        <v>613</v>
      </c>
      <c r="E21" s="57" t="s">
        <v>614</v>
      </c>
    </row>
    <row r="22" spans="1:5" ht="28.8" x14ac:dyDescent="0.3">
      <c r="A22" s="49"/>
      <c r="B22" s="87"/>
      <c r="C22" s="45"/>
      <c r="D22" s="28" t="s">
        <v>615</v>
      </c>
      <c r="E22" s="57"/>
    </row>
    <row r="23" spans="1:5" ht="14.4" x14ac:dyDescent="0.3">
      <c r="A23" s="49"/>
      <c r="B23" s="87"/>
      <c r="C23" s="45"/>
      <c r="D23" s="26" t="s">
        <v>616</v>
      </c>
      <c r="E23" s="57"/>
    </row>
    <row r="24" spans="1:5" ht="14.4" x14ac:dyDescent="0.3">
      <c r="A24" s="49"/>
      <c r="B24" s="87"/>
      <c r="C24" s="45"/>
      <c r="D24" s="26" t="s">
        <v>617</v>
      </c>
      <c r="E24" s="57"/>
    </row>
    <row r="25" spans="1:5" ht="28.8" x14ac:dyDescent="0.3">
      <c r="A25" s="49"/>
      <c r="B25" s="87" t="s">
        <v>618</v>
      </c>
      <c r="C25" s="45" t="s">
        <v>619</v>
      </c>
      <c r="D25" s="26" t="s">
        <v>620</v>
      </c>
      <c r="E25" s="57" t="s">
        <v>589</v>
      </c>
    </row>
    <row r="26" spans="1:5" ht="28.8" x14ac:dyDescent="0.3">
      <c r="A26" s="49"/>
      <c r="B26" s="87"/>
      <c r="C26" s="45"/>
      <c r="D26" s="26" t="s">
        <v>621</v>
      </c>
      <c r="E26" s="57"/>
    </row>
    <row r="27" spans="1:5" ht="28.8" x14ac:dyDescent="0.3">
      <c r="A27" s="49"/>
      <c r="B27" s="87"/>
      <c r="C27" s="45"/>
      <c r="D27" s="28" t="s">
        <v>622</v>
      </c>
      <c r="E27" s="57"/>
    </row>
    <row r="28" spans="1:5" ht="28.8" x14ac:dyDescent="0.3">
      <c r="A28" s="49"/>
      <c r="B28" s="87"/>
      <c r="C28" s="45"/>
      <c r="D28" s="28" t="s">
        <v>623</v>
      </c>
      <c r="E28" s="57"/>
    </row>
    <row r="31" spans="1:5" ht="14.4" x14ac:dyDescent="0.3">
      <c r="B31">
        <f>COUNTA(B5:B28)</f>
        <v>6</v>
      </c>
      <c r="D31">
        <f t="shared" ref="D31" si="0">COUNTA(D5:D28)</f>
        <v>24</v>
      </c>
    </row>
  </sheetData>
  <mergeCells count="20">
    <mergeCell ref="E25:E28"/>
    <mergeCell ref="B25:B28"/>
    <mergeCell ref="C25:C28"/>
    <mergeCell ref="A2:B2"/>
    <mergeCell ref="A5:A28"/>
    <mergeCell ref="B5:B8"/>
    <mergeCell ref="C5:C8"/>
    <mergeCell ref="B13:B16"/>
    <mergeCell ref="C13:C16"/>
    <mergeCell ref="B21:B24"/>
    <mergeCell ref="C21:C24"/>
    <mergeCell ref="B17:B20"/>
    <mergeCell ref="C17:C20"/>
    <mergeCell ref="B9:B12"/>
    <mergeCell ref="C9:C12"/>
    <mergeCell ref="E5:E8"/>
    <mergeCell ref="E9:E12"/>
    <mergeCell ref="E13:E16"/>
    <mergeCell ref="E17:E20"/>
    <mergeCell ref="E21:E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315AC-4E11-405C-A58F-0BB9AA38FA87}">
  <dimension ref="A1:E24"/>
  <sheetViews>
    <sheetView workbookViewId="0">
      <selection activeCell="C9" sqref="C9:C12"/>
    </sheetView>
  </sheetViews>
  <sheetFormatPr baseColWidth="10" defaultColWidth="84.33203125" defaultRowHeight="15" customHeight="1" x14ac:dyDescent="0.3"/>
  <cols>
    <col min="1" max="1" width="74.33203125" customWidth="1"/>
    <col min="2" max="2" width="33" customWidth="1"/>
    <col min="3" max="3" width="50.5546875" customWidth="1"/>
    <col min="4" max="5" width="44.33203125" customWidth="1"/>
  </cols>
  <sheetData>
    <row r="1" spans="1:5" ht="23.4" x14ac:dyDescent="0.45">
      <c r="A1" s="47" t="s">
        <v>624</v>
      </c>
      <c r="B1" s="47"/>
      <c r="C1" s="1" t="s">
        <v>17</v>
      </c>
      <c r="D1" s="1"/>
      <c r="E1" s="1"/>
    </row>
    <row r="2" spans="1:5" ht="14.4" x14ac:dyDescent="0.3">
      <c r="A2" s="1"/>
      <c r="B2" s="1"/>
      <c r="C2" s="1"/>
      <c r="D2" s="1"/>
      <c r="E2" s="1"/>
    </row>
    <row r="3" spans="1:5" ht="21" x14ac:dyDescent="0.3">
      <c r="A3" s="29" t="s">
        <v>18</v>
      </c>
      <c r="B3" s="29" t="s">
        <v>19</v>
      </c>
      <c r="C3" s="29" t="s">
        <v>20</v>
      </c>
      <c r="D3" s="30" t="s">
        <v>21</v>
      </c>
      <c r="E3" s="30" t="s">
        <v>22</v>
      </c>
    </row>
    <row r="4" spans="1:5" ht="28.8" customHeight="1" x14ac:dyDescent="0.3">
      <c r="A4" s="45" t="s">
        <v>625</v>
      </c>
      <c r="B4" s="45" t="s">
        <v>640</v>
      </c>
      <c r="C4" s="88" t="s">
        <v>641</v>
      </c>
      <c r="D4" s="28" t="s">
        <v>626</v>
      </c>
      <c r="E4" s="45" t="s">
        <v>627</v>
      </c>
    </row>
    <row r="5" spans="1:5" ht="28.8" x14ac:dyDescent="0.3">
      <c r="A5" s="45"/>
      <c r="B5" s="45"/>
      <c r="C5" s="88"/>
      <c r="D5" s="28" t="s">
        <v>648</v>
      </c>
      <c r="E5" s="45"/>
    </row>
    <row r="6" spans="1:5" ht="14.4" x14ac:dyDescent="0.3">
      <c r="A6" s="45"/>
      <c r="B6" s="45"/>
      <c r="C6" s="88"/>
      <c r="D6" s="28" t="s">
        <v>649</v>
      </c>
      <c r="E6" s="45"/>
    </row>
    <row r="7" spans="1:5" ht="28.8" x14ac:dyDescent="0.3">
      <c r="A7" s="45"/>
      <c r="B7" s="45"/>
      <c r="C7" s="88"/>
      <c r="D7" s="28" t="s">
        <v>650</v>
      </c>
      <c r="E7" s="45"/>
    </row>
    <row r="8" spans="1:5" ht="28.8" x14ac:dyDescent="0.3">
      <c r="A8" s="45"/>
      <c r="B8" s="45"/>
      <c r="C8" s="88"/>
      <c r="D8" s="28" t="s">
        <v>651</v>
      </c>
      <c r="E8" s="45"/>
    </row>
    <row r="9" spans="1:5" ht="43.2" customHeight="1" x14ac:dyDescent="0.3">
      <c r="A9" s="45"/>
      <c r="B9" s="58" t="s">
        <v>642</v>
      </c>
      <c r="C9" s="58" t="s">
        <v>643</v>
      </c>
      <c r="D9" s="27" t="s">
        <v>652</v>
      </c>
      <c r="E9" s="45" t="s">
        <v>628</v>
      </c>
    </row>
    <row r="10" spans="1:5" ht="28.8" x14ac:dyDescent="0.3">
      <c r="A10" s="45"/>
      <c r="B10" s="58"/>
      <c r="C10" s="58"/>
      <c r="D10" s="27" t="s">
        <v>653</v>
      </c>
      <c r="E10" s="45"/>
    </row>
    <row r="11" spans="1:5" ht="14.4" x14ac:dyDescent="0.3">
      <c r="A11" s="45"/>
      <c r="B11" s="58"/>
      <c r="C11" s="58"/>
      <c r="D11" s="27" t="s">
        <v>654</v>
      </c>
      <c r="E11" s="45"/>
    </row>
    <row r="12" spans="1:5" ht="28.8" x14ac:dyDescent="0.3">
      <c r="A12" s="45"/>
      <c r="B12" s="58"/>
      <c r="C12" s="58"/>
      <c r="D12" s="27" t="s">
        <v>655</v>
      </c>
      <c r="E12" s="45"/>
    </row>
    <row r="13" spans="1:5" ht="28.8" customHeight="1" x14ac:dyDescent="0.3">
      <c r="A13" s="45"/>
      <c r="B13" s="58" t="s">
        <v>644</v>
      </c>
      <c r="C13" s="58" t="s">
        <v>645</v>
      </c>
      <c r="D13" s="27" t="s">
        <v>656</v>
      </c>
      <c r="E13" s="45" t="s">
        <v>629</v>
      </c>
    </row>
    <row r="14" spans="1:5" ht="14.4" x14ac:dyDescent="0.3">
      <c r="A14" s="45"/>
      <c r="B14" s="58"/>
      <c r="C14" s="58"/>
      <c r="D14" s="27" t="s">
        <v>657</v>
      </c>
      <c r="E14" s="45"/>
    </row>
    <row r="15" spans="1:5" ht="14.4" x14ac:dyDescent="0.3">
      <c r="A15" s="45"/>
      <c r="B15" s="58"/>
      <c r="C15" s="58"/>
      <c r="D15" s="27" t="s">
        <v>658</v>
      </c>
      <c r="E15" s="45"/>
    </row>
    <row r="16" spans="1:5" ht="14.4" x14ac:dyDescent="0.3">
      <c r="A16" s="45"/>
      <c r="B16" s="58"/>
      <c r="C16" s="58"/>
      <c r="D16" s="27" t="s">
        <v>659</v>
      </c>
      <c r="E16" s="45"/>
    </row>
    <row r="17" spans="1:5" ht="28.8" customHeight="1" x14ac:dyDescent="0.3">
      <c r="A17" s="45"/>
      <c r="B17" s="45" t="s">
        <v>646</v>
      </c>
      <c r="C17" s="45" t="s">
        <v>647</v>
      </c>
      <c r="D17" s="28" t="s">
        <v>630</v>
      </c>
      <c r="E17" s="45" t="s">
        <v>629</v>
      </c>
    </row>
    <row r="18" spans="1:5" ht="28.8" x14ac:dyDescent="0.3">
      <c r="A18" s="45"/>
      <c r="B18" s="45"/>
      <c r="C18" s="45"/>
      <c r="D18" s="28" t="s">
        <v>631</v>
      </c>
      <c r="E18" s="45"/>
    </row>
    <row r="19" spans="1:5" ht="28.8" x14ac:dyDescent="0.3">
      <c r="A19" s="45"/>
      <c r="B19" s="45"/>
      <c r="C19" s="45"/>
      <c r="D19" s="28" t="s">
        <v>660</v>
      </c>
      <c r="E19" s="45"/>
    </row>
    <row r="20" spans="1:5" ht="14.4" x14ac:dyDescent="0.3">
      <c r="A20" s="45"/>
      <c r="B20" s="45"/>
      <c r="C20" s="45"/>
      <c r="D20" s="28" t="s">
        <v>661</v>
      </c>
      <c r="E20" s="45"/>
    </row>
    <row r="21" spans="1:5" ht="28.8" x14ac:dyDescent="0.3">
      <c r="A21" s="45"/>
      <c r="B21" s="45"/>
      <c r="C21" s="45"/>
      <c r="D21" s="28" t="s">
        <v>632</v>
      </c>
      <c r="E21" s="45"/>
    </row>
    <row r="22" spans="1:5" ht="14.4" x14ac:dyDescent="0.3">
      <c r="A22" s="4"/>
      <c r="B22" s="4"/>
      <c r="C22" s="4"/>
      <c r="D22" s="5"/>
      <c r="E22" s="5"/>
    </row>
    <row r="23" spans="1:5" ht="14.4" x14ac:dyDescent="0.3">
      <c r="A23" s="4"/>
      <c r="B23" s="4">
        <f>COUNTA(B4:B21)</f>
        <v>4</v>
      </c>
      <c r="C23" s="4"/>
      <c r="D23" s="4">
        <f>COUNTA(D4:D21)</f>
        <v>18</v>
      </c>
      <c r="E23" s="4"/>
    </row>
    <row r="24" spans="1:5" ht="14.4" x14ac:dyDescent="0.3">
      <c r="A24" s="4"/>
      <c r="B24" s="4"/>
      <c r="C24" s="4"/>
      <c r="D24" s="1"/>
      <c r="E24" s="1"/>
    </row>
  </sheetData>
  <mergeCells count="14">
    <mergeCell ref="A1:B1"/>
    <mergeCell ref="A4:A21"/>
    <mergeCell ref="B4:B8"/>
    <mergeCell ref="C4:C8"/>
    <mergeCell ref="B9:B12"/>
    <mergeCell ref="C9:C12"/>
    <mergeCell ref="B13:B16"/>
    <mergeCell ref="C13:C16"/>
    <mergeCell ref="E4:E8"/>
    <mergeCell ref="E9:E12"/>
    <mergeCell ref="E13:E16"/>
    <mergeCell ref="E17:E21"/>
    <mergeCell ref="B17:B21"/>
    <mergeCell ref="C17:C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yracuseOfficeCustomData>{"createMode":"plain_doc","forceRefresh":"0"}</SyracuseOfficeCustomDat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a28d3c-8921-45e0-9090-e1e4230c03d4">
      <Terms xmlns="http://schemas.microsoft.com/office/infopath/2007/PartnerControls"/>
    </lcf76f155ced4ddcb4097134ff3c332f>
    <TaxCatchAll xmlns="88023cf7-ad73-407b-a2b9-c9d5a1d7ba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91A71901678F24B8CF8E706E4FFE8AD" ma:contentTypeVersion="11" ma:contentTypeDescription="Create a new document." ma:contentTypeScope="" ma:versionID="88637c334a236ea160aa509ca15d336e">
  <xsd:schema xmlns:xsd="http://www.w3.org/2001/XMLSchema" xmlns:xs="http://www.w3.org/2001/XMLSchema" xmlns:p="http://schemas.microsoft.com/office/2006/metadata/properties" xmlns:ns2="3aa28d3c-8921-45e0-9090-e1e4230c03d4" xmlns:ns3="88023cf7-ad73-407b-a2b9-c9d5a1d7ba6b" targetNamespace="http://schemas.microsoft.com/office/2006/metadata/properties" ma:root="true" ma:fieldsID="bacb4367781e8f2135174b4708ed5bfd" ns2:_="" ns3:_="">
    <xsd:import namespace="3aa28d3c-8921-45e0-9090-e1e4230c03d4"/>
    <xsd:import namespace="88023cf7-ad73-407b-a2b9-c9d5a1d7ba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a28d3c-8921-45e0-9090-e1e4230c03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e535d04-bef4-48e8-84fb-b4268b014a1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023cf7-ad73-407b-a2b9-c9d5a1d7ba6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2992c7-697c-4a85-a9bd-314de2581efb}" ma:internalName="TaxCatchAll" ma:showField="CatchAllData" ma:web="88023cf7-ad73-407b-a2b9-c9d5a1d7ba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77A4FD-4790-4E21-B4B1-041264DF1AA1}">
  <ds:schemaRefs/>
</ds:datastoreItem>
</file>

<file path=customXml/itemProps2.xml><?xml version="1.0" encoding="utf-8"?>
<ds:datastoreItem xmlns:ds="http://schemas.openxmlformats.org/officeDocument/2006/customXml" ds:itemID="{87BAA1F8-EC25-4CD5-860C-E5C8ACEB723D}">
  <ds:schemaRefs>
    <ds:schemaRef ds:uri="http://schemas.microsoft.com/office/2006/metadata/properties"/>
    <ds:schemaRef ds:uri="http://schemas.microsoft.com/office/infopath/2007/PartnerControls"/>
    <ds:schemaRef ds:uri="3aa28d3c-8921-45e0-9090-e1e4230c03d4"/>
    <ds:schemaRef ds:uri="88023cf7-ad73-407b-a2b9-c9d5a1d7ba6b"/>
  </ds:schemaRefs>
</ds:datastoreItem>
</file>

<file path=customXml/itemProps3.xml><?xml version="1.0" encoding="utf-8"?>
<ds:datastoreItem xmlns:ds="http://schemas.openxmlformats.org/officeDocument/2006/customXml" ds:itemID="{84DFA77F-5D44-4E4C-82E8-A59E8E12BF32}">
  <ds:schemaRefs>
    <ds:schemaRef ds:uri="http://schemas.microsoft.com/sharepoint/v3/contenttype/forms"/>
  </ds:schemaRefs>
</ds:datastoreItem>
</file>

<file path=customXml/itemProps4.xml><?xml version="1.0" encoding="utf-8"?>
<ds:datastoreItem xmlns:ds="http://schemas.openxmlformats.org/officeDocument/2006/customXml" ds:itemID="{5C598FB6-E18B-4899-AC65-57FB98AC11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a28d3c-8921-45e0-9090-e1e4230c03d4"/>
    <ds:schemaRef ds:uri="88023cf7-ad73-407b-a2b9-c9d5a1d7b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Synthèse</vt:lpstr>
      <vt:lpstr>Big Data &amp; Gouvernance</vt:lpstr>
      <vt:lpstr>Conception &amp; ingénierie</vt:lpstr>
      <vt:lpstr>Déploiement &amp; extension infra</vt:lpstr>
      <vt:lpstr>Digitalisation</vt:lpstr>
      <vt:lpstr>Exploitation et maint infra</vt:lpstr>
      <vt:lpstr>Gestion budgétaire</vt:lpstr>
      <vt:lpstr>Gouvernance N&amp;IS</vt:lpstr>
      <vt:lpstr>Projets N&amp;IS</vt:lpstr>
      <vt:lpstr>Performance &amp; optimisation</vt:lpstr>
      <vt:lpstr>Sécurité &amp; Résilience SI</vt:lpstr>
      <vt:lpstr>Stratégie &amp; Evolution des infra</vt:lpstr>
      <vt:lpstr>Support et Assistance IT</vt:lpstr>
      <vt:lpstr>Support opérationnel aux activi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Taith LAWSON</dc:creator>
  <cp:keywords/>
  <dc:description/>
  <cp:lastModifiedBy>Maxime Tante-Gnandi</cp:lastModifiedBy>
  <cp:revision/>
  <dcterms:created xsi:type="dcterms:W3CDTF">2025-12-04T08:47:30Z</dcterms:created>
  <dcterms:modified xsi:type="dcterms:W3CDTF">2025-12-24T17:04:31Z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0x010100791A71901678F24B8CF8E706E4FFE8AD</vt:lpwstr>
  </property>
  <property fmtid="{D5CDD505-2E9C-101B-9397-08002B2CF9AE}" pid="3" name="MediaServiceImageTags">
    <vt:lpwstr/>
  </property>
</Properties>
</file>