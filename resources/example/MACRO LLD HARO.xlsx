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htitikpina\Documents\"/>
    </mc:Choice>
  </mc:AlternateContent>
  <xr:revisionPtr revIDLastSave="0" documentId="8_{C099A8F3-0D02-44D1-8EA7-0FD276160616}" xr6:coauthVersionLast="47" xr6:coauthVersionMax="47" xr10:uidLastSave="{00000000-0000-0000-0000-000000000000}"/>
  <bookViews>
    <workbookView xWindow="28680" yWindow="-120" windowWidth="29040" windowHeight="15720" xr2:uid="{F62F3B09-37D1-44AD-A4EB-5E43A3EBC0F8}"/>
  </bookViews>
  <sheets>
    <sheet name="Feuil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54" i="1" l="1"/>
  <c r="E453" i="1"/>
  <c r="E448" i="1"/>
  <c r="E446" i="1"/>
  <c r="E445" i="1"/>
  <c r="E444" i="1"/>
  <c r="E443" i="1"/>
  <c r="E442" i="1"/>
  <c r="E441" i="1"/>
  <c r="E440" i="1"/>
  <c r="E439" i="1"/>
  <c r="E438" i="1"/>
  <c r="E437" i="1"/>
  <c r="E436" i="1"/>
  <c r="E435" i="1"/>
  <c r="E434" i="1"/>
  <c r="E433" i="1"/>
  <c r="E432" i="1"/>
  <c r="E431" i="1"/>
  <c r="E430" i="1"/>
  <c r="E429" i="1"/>
  <c r="E428" i="1"/>
  <c r="E427" i="1"/>
  <c r="E426" i="1"/>
  <c r="E425" i="1"/>
  <c r="E417" i="1"/>
  <c r="E416" i="1"/>
  <c r="E415" i="1"/>
  <c r="E414" i="1"/>
  <c r="E413" i="1"/>
  <c r="E412" i="1"/>
  <c r="E411" i="1"/>
  <c r="E410" i="1"/>
  <c r="E409" i="1"/>
  <c r="E408" i="1"/>
  <c r="E407" i="1"/>
  <c r="E406" i="1"/>
  <c r="E405" i="1"/>
  <c r="E404" i="1"/>
  <c r="E403" i="1"/>
  <c r="E402" i="1"/>
  <c r="E401" i="1"/>
  <c r="E400" i="1"/>
  <c r="E399" i="1"/>
  <c r="E398" i="1"/>
  <c r="E390" i="1"/>
  <c r="E389" i="1"/>
  <c r="E388" i="1"/>
  <c r="E387" i="1"/>
  <c r="E386" i="1"/>
  <c r="E385" i="1"/>
  <c r="E384" i="1"/>
  <c r="E383" i="1"/>
  <c r="E382" i="1"/>
  <c r="E381" i="1"/>
  <c r="E380" i="1"/>
  <c r="E379" i="1"/>
  <c r="E378" i="1"/>
  <c r="E377" i="1"/>
  <c r="E376" i="1"/>
  <c r="E375" i="1"/>
  <c r="E374" i="1"/>
  <c r="E373" i="1"/>
  <c r="E372" i="1"/>
  <c r="E371" i="1"/>
  <c r="E370" i="1"/>
  <c r="E369" i="1"/>
  <c r="E368" i="1"/>
  <c r="E367"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0" i="1"/>
  <c r="E319" i="1"/>
  <c r="E318" i="1"/>
  <c r="E317" i="1"/>
  <c r="E316" i="1"/>
  <c r="E315" i="1"/>
  <c r="E314" i="1"/>
  <c r="E313" i="1"/>
  <c r="E312" i="1"/>
  <c r="E311" i="1"/>
  <c r="E310" i="1"/>
  <c r="E309" i="1"/>
  <c r="E308" i="1"/>
  <c r="E307" i="1"/>
  <c r="E306" i="1"/>
  <c r="E305" i="1"/>
  <c r="E301" i="1"/>
  <c r="E292" i="1"/>
  <c r="E291" i="1"/>
  <c r="E290" i="1"/>
  <c r="E289" i="1"/>
  <c r="E288" i="1"/>
  <c r="E287" i="1"/>
  <c r="E286" i="1"/>
  <c r="E285" i="1"/>
  <c r="E284" i="1"/>
  <c r="E283" i="1"/>
  <c r="E282" i="1"/>
  <c r="E281" i="1"/>
  <c r="E280" i="1"/>
  <c r="E279" i="1"/>
  <c r="E278" i="1"/>
  <c r="E277" i="1"/>
  <c r="E276" i="1"/>
  <c r="E275" i="1"/>
  <c r="E274" i="1"/>
  <c r="E273" i="1"/>
  <c r="E272" i="1"/>
  <c r="E271" i="1"/>
  <c r="E270" i="1"/>
  <c r="E269"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0" i="1"/>
  <c r="E69" i="1"/>
  <c r="E68" i="1"/>
  <c r="E67" i="1"/>
  <c r="E66" i="1"/>
  <c r="E65" i="1"/>
  <c r="E64" i="1"/>
  <c r="E63" i="1"/>
  <c r="E62" i="1"/>
  <c r="E61" i="1"/>
  <c r="E60" i="1"/>
  <c r="E59" i="1"/>
  <c r="E58" i="1"/>
  <c r="E57" i="1"/>
  <c r="E56" i="1"/>
  <c r="E55" i="1"/>
  <c r="E54" i="1"/>
  <c r="E53" i="1"/>
  <c r="E52" i="1"/>
  <c r="E51" i="1"/>
  <c r="E45" i="1"/>
  <c r="E44" i="1"/>
  <c r="E43" i="1"/>
  <c r="E42" i="1"/>
  <c r="E41"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alcChain>
</file>

<file path=xl/sharedStrings.xml><?xml version="1.0" encoding="utf-8"?>
<sst xmlns="http://schemas.openxmlformats.org/spreadsheetml/2006/main" count="830" uniqueCount="701">
  <si>
    <t xml:space="preserve"> Stratégie &amp; Évolution des Infrastructures et Services</t>
  </si>
  <si>
    <t xml:space="preserve"> Description Détaillée </t>
  </si>
  <si>
    <t>Code Micro</t>
  </si>
  <si>
    <t>Micro-processus</t>
  </si>
  <si>
    <t>Description de la Micro-processus</t>
  </si>
  <si>
    <t>Code tâches</t>
  </si>
  <si>
    <t>Identification des tâches primaires</t>
  </si>
  <si>
    <t>Intervenants par micro-processus((Directions et pôles métiers</t>
  </si>
  <si>
    <t xml:space="preserve">Cette macro couvre le pilotage globale du cycle de vie des ressources (IT, réseau, plateformes) et des services (voix, data, BSS/OSS), depuis leur conception jusqu’à leur retrait. 
Elle vise à garantir une cohérence d’ensemble des choix techniques et à structurer l’évolution des capacités et des fonctions techniques en anticipant les ruptures technologiques. Elle comprend : 
- L’analyse prospective et continue des besoins métiers et des usages 
- L’évaluation des tendances technologiques (cloud, 5G, edge, automatisation, IA, etc.) 
- La définition et la révision régulière des architectures cibles et des capacités de services 
- L’élaboration de feuilles de route structurées et arbitrées techniquement et budgétairement 
- La formalisation des principes directeurs (standards, normes, orientations techniques) 
- La coordination des trajectoires d’évolution des services et infrastructures (ressources physiques et logiques) 
- L’intégration de la résilience, de la scalabilité et de la maintenabilité dès la conception stratégique 
- L’articulation avec la gestion des risques, des investissements et des capacités </t>
  </si>
  <si>
    <t>M1_P1</t>
  </si>
  <si>
    <t xml:space="preserve"> Processus d’analyse des besoins métiers et technologiques </t>
  </si>
  <si>
    <t xml:space="preserve"> Identifier et qualifier les besoins métiers, les tendances technologiques et les contraintes de résilience à moyen/long terme. </t>
  </si>
  <si>
    <t xml:space="preserve"> Recueillir les besoins stratégiques des métiers </t>
  </si>
  <si>
    <t xml:space="preserve">
CTIO
Direction Network Engineering
Infrastructure IT
IT Product &amp; Project Delivery
</t>
  </si>
  <si>
    <t xml:space="preserve"> Analyser les tendances technologiques sectorielles </t>
  </si>
  <si>
    <t xml:space="preserve"> Identifier les exigences de résilience et de scalabilité </t>
  </si>
  <si>
    <t xml:space="preserve"> Documenter les cas d’usage cibles </t>
  </si>
  <si>
    <t>M1_P2</t>
  </si>
  <si>
    <t xml:space="preserve"> Processus d’évaluation de l’existant          </t>
  </si>
  <si>
    <t xml:space="preserve"> Évaluer l’état actuel des infrastructures, des services et de leurs performances pour établir une base de référence. </t>
  </si>
  <si>
    <t xml:space="preserve"> Cartographier les infrastructures techniques et fonctionnelles </t>
  </si>
  <si>
    <t xml:space="preserve">
CTIO
Direction Network Engineering
DSI
</t>
  </si>
  <si>
    <t xml:space="preserve"> Analyser la performance et l’obsolescence des composants </t>
  </si>
  <si>
    <t xml:space="preserve"> Identifier les interdépendances critiques </t>
  </si>
  <si>
    <t xml:space="preserve"> Évaluer les capacités et les goulots d’étranglement </t>
  </si>
  <si>
    <t>M1_P3</t>
  </si>
  <si>
    <t xml:space="preserve"> Processus de définition de l’architecture cible </t>
  </si>
  <si>
    <t xml:space="preserve"> Élaborer une vision d’architecture cible alignée sur les objectifs métiers, techniques et de transformation. </t>
  </si>
  <si>
    <t xml:space="preserve"> Définir les principes d’architecture (cloud, on-prem, hybride) </t>
  </si>
  <si>
    <t xml:space="preserve">
CTIO
Direction Network Engineering
DSI
Infrastructure IT
IT Product &amp; Project Delivery
</t>
  </si>
  <si>
    <t xml:space="preserve"> Modéliser les architectures fonctionnelles et techniques cibles </t>
  </si>
  <si>
    <t xml:space="preserve"> Assurer la cohérence interdomaines </t>
  </si>
  <si>
    <t xml:space="preserve"> Valider l’architecture auprès des parties prenantes </t>
  </si>
  <si>
    <t>M1_P4</t>
  </si>
  <si>
    <t xml:space="preserve"> Processus de construction de la feuille de route technologique </t>
  </si>
  <si>
    <t xml:space="preserve"> Définir les jalons de transformation vers la cible, en alignement avec les capacités, ressources et priorités. </t>
  </si>
  <si>
    <t xml:space="preserve"> Identifier les étapes de transformation par domaine </t>
  </si>
  <si>
    <t xml:space="preserve">CTIO
Direction Network Engineering
Infrastructure IT
IT Product &amp; Project Delivery
Diretion Technical Business Support
</t>
  </si>
  <si>
    <t xml:space="preserve"> Planifier les priorités à court, moyen et long terme </t>
  </si>
  <si>
    <t xml:space="preserve"> Évaluer les dépendances et séquences logiques </t>
  </si>
  <si>
    <t xml:space="preserve"> Structurer les jalons, coûts et ressources nécessaires </t>
  </si>
  <si>
    <t>M1_P5</t>
  </si>
  <si>
    <t xml:space="preserve"> Processus d’arbitrage technico-économique    </t>
  </si>
  <si>
    <t xml:space="preserve"> Évaluer les choix technologiques et d’investissement en fonction du ROI, des risques et de la valeur métier. </t>
  </si>
  <si>
    <t xml:space="preserve"> Réaliser des analyses coût/bénéfice </t>
  </si>
  <si>
    <t>CTIO
Direction Network Engineering
DSI
Diretion Technical Business Support</t>
  </si>
  <si>
    <t xml:space="preserve"> Comparer les scénarios techniques </t>
  </si>
  <si>
    <t xml:space="preserve"> Définir les critères de décision </t>
  </si>
  <si>
    <t xml:space="preserve"> Formuler les recommandations d’investissement </t>
  </si>
  <si>
    <t>M1_P6</t>
  </si>
  <si>
    <t xml:space="preserve"> Processus de gestion du cycle de vie des services </t>
  </si>
  <si>
    <t xml:space="preserve"> Définir et encadrer la création, l’évolution et le retrait des services tout au long de leur cycle de vie. </t>
  </si>
  <si>
    <t xml:space="preserve"> Définir les étapes du cycle de vie d’un service </t>
  </si>
  <si>
    <t xml:space="preserve">CTIO
DSI
Direction Network Engineering
IT Product &amp; Project Delivery
</t>
  </si>
  <si>
    <t xml:space="preserve"> Identifier les critères d’entrée/sortie de chaque phase </t>
  </si>
  <si>
    <t xml:space="preserve"> Planifier les évolutions ou décommissionnements </t>
  </si>
  <si>
    <t xml:space="preserve"> Superviser la cohérence avec les besoins utilisateurs </t>
  </si>
  <si>
    <t>M1_P7</t>
  </si>
  <si>
    <t xml:space="preserve"> Processus de gestion du cycle de vie des ressources </t>
  </si>
  <si>
    <t xml:space="preserve"> Piloter l’utilisation, le renouvellement et la mise à jour des ressources techniques pour garantir leur performance. </t>
  </si>
  <si>
    <t xml:space="preserve"> Analyser les cycles de vie des composants </t>
  </si>
  <si>
    <t xml:space="preserve">CTIO
DSI
Direction Network Engineering
Infrastructure IT
</t>
  </si>
  <si>
    <t xml:space="preserve"> Identifier les risques d’obsolescence </t>
  </si>
  <si>
    <t xml:space="preserve"> Planifier les remplacements ou montées de version </t>
  </si>
  <si>
    <t xml:space="preserve"> Aligner les ressources avec la stratégie d’évolution </t>
  </si>
  <si>
    <t>M1_P8</t>
  </si>
  <si>
    <t xml:space="preserve"> Processus de veille technologique et stratégique </t>
  </si>
  <si>
    <t xml:space="preserve"> Anticiper les innovations, ruptures ou menaces technologiques impactant les orientations stratégiques. </t>
  </si>
  <si>
    <t xml:space="preserve"> Effectuer une veille ciblée sur les tendances techniques </t>
  </si>
  <si>
    <t>CTIO
Direction Network Engineering
Infrastructure IT
IT Product &amp; Project Delivery</t>
  </si>
  <si>
    <t xml:space="preserve"> Analyser les signaux faibles et les ruptures potentielles </t>
  </si>
  <si>
    <t xml:space="preserve"> Évaluer les impacts des innovations sur l’existant </t>
  </si>
  <si>
    <t xml:space="preserve"> Diffuser les résultats de la veille auprès des décideurs </t>
  </si>
  <si>
    <t>M1_P9</t>
  </si>
  <si>
    <t xml:space="preserve"> Processus d’alignement aux cadres de référence </t>
  </si>
  <si>
    <t xml:space="preserve"> Intégrer les exigences des cadres internationaux (eTOM, ITIL, TOGAF, etc.) dans la stratégie d’évolution. </t>
  </si>
  <si>
    <t xml:space="preserve"> Identifier les cadres applicables à l’organisation </t>
  </si>
  <si>
    <t>CTIO
Direction PMO &amp; Gouvernance</t>
  </si>
  <si>
    <t>M1_P9_T2</t>
  </si>
  <si>
    <t xml:space="preserve"> Cartographier les exigences par cadre de référence </t>
  </si>
  <si>
    <t>M1_P9_T3</t>
  </si>
  <si>
    <t xml:space="preserve"> Décliner les exigences en principes et règles internes </t>
  </si>
  <si>
    <t>M1_P9_T4</t>
  </si>
  <si>
    <t xml:space="preserve"> Mettre à jour les pratiques pour assurer la conformité </t>
  </si>
  <si>
    <t>M1_P10</t>
  </si>
  <si>
    <t xml:space="preserve"> Processus de pilotage de la revue stratégique </t>
  </si>
  <si>
    <t xml:space="preserve"> Réviser régulièrement les choix stratégiques en fonction de l’évolution des contextes internes et externes. </t>
  </si>
  <si>
    <t xml:space="preserve"> Organiser les revues périodiques de stratégie technique </t>
  </si>
  <si>
    <t xml:space="preserve"> Mesurer les écarts entre planification et réalisation </t>
  </si>
  <si>
    <t xml:space="preserve"> Actualiser les objectifs et les feuilles de route </t>
  </si>
  <si>
    <t xml:space="preserve"> Coordonner les arbitrages inter-domaines </t>
  </si>
  <si>
    <t>Gouvernance Network &amp; IS</t>
  </si>
  <si>
    <t>Cette macro regroupe les processus de gouvernance structurant la direction technique des réseaux et systèmes d’information. Elle vise à garantir un cadre organisationnel clair, cohérent et conforme, assurant l'alignement permanent entre les pratiques opérationnelles, les orientations stratégiques et les obligations réglementaires. Elle comprend la définition des rôles, responsabilités, processus et règles applicables, le pilotage des politiques et des audits, ainsi que la gestion des risques et de la performance organisationnelle.Elle s’appuie sur une gouvernance transverse pour renforcer la maîtrise, la qualité, la conformité et l’amélioration continue. L’intégration des retours d’expérience, des dispositifs de contrôle interne, des indicateurs de pilotage et des engagements de niveau de service y sont essentiels. Elle s'aligne sur les cadres  ITIL (Governance/Plan), eTOM (Enterprise Risk Management, Enterprise Effectiveness Management, Service Level Management) et ISO 27001/9001 pour assurer la robustesse, la transparence et la responsabilité dans la gestion technique.</t>
  </si>
  <si>
    <t>M2_P1</t>
  </si>
  <si>
    <t xml:space="preserve"> Processus de structuration des responsabilités et des rôles </t>
  </si>
  <si>
    <t xml:space="preserve"> Définir les responsabilités, les rôles et les autorités dans l’organisation Network &amp; IS afin d’assurer une gouvernance claire et efficace. </t>
  </si>
  <si>
    <t xml:space="preserve"> Cartographier les rôles et responsabilités existants </t>
  </si>
  <si>
    <t>CTIO
Direction PMO &amp; Gouvernance 
HRBP</t>
  </si>
  <si>
    <t xml:space="preserve"> Définir les autorités décisionnelles par domaine </t>
  </si>
  <si>
    <t xml:space="preserve"> Formaliser les fiches de rôle et d’interaction </t>
  </si>
  <si>
    <t xml:space="preserve"> Valider la structure avec les instances dirigeantes </t>
  </si>
  <si>
    <t xml:space="preserve"> Communiquer la gouvernance aux équipes </t>
  </si>
  <si>
    <t>M2_P2</t>
  </si>
  <si>
    <t xml:space="preserve"> Processus de gestion des politiques et référentiels internes </t>
  </si>
  <si>
    <t xml:space="preserve"> Élaborer, maintenir et diffuser les politiques, normes, procédures et référentiels internes pour garantir la conformité et l’alignement stratégique. </t>
  </si>
  <si>
    <t xml:space="preserve"> Identifier les besoins de politiques et de référentiels </t>
  </si>
  <si>
    <t xml:space="preserve"> Rédiger ou mettre à jour les documents de référence </t>
  </si>
  <si>
    <t xml:space="preserve"> Aligner les documents sur les normes externes (ISO, ITIL, etc.) </t>
  </si>
  <si>
    <t xml:space="preserve"> Valider et publier les documents officiels </t>
  </si>
  <si>
    <t xml:space="preserve"> Organiser leur diffusion et sensibilisation </t>
  </si>
  <si>
    <t>M2_P3</t>
  </si>
  <si>
    <t xml:space="preserve"> Processus de gestion des risques organisationnels </t>
  </si>
  <si>
    <t xml:space="preserve"> Identifier, évaluer et traiter les risques impactant la structure, les processus ou la conformité de la direction Network &amp; IS. </t>
  </si>
  <si>
    <t xml:space="preserve"> Cartographier les risques organisationnels </t>
  </si>
  <si>
    <t xml:space="preserve"> Évaluer l’impact et la probabilité des risques </t>
  </si>
  <si>
    <t xml:space="preserve"> Définir des plans de traitement ou de mitigation </t>
  </si>
  <si>
    <t xml:space="preserve"> Mettre en œuvre les actions correctives </t>
  </si>
  <si>
    <t xml:space="preserve"> Suivre les plans de réduction du risque </t>
  </si>
  <si>
    <t>M2_P4</t>
  </si>
  <si>
    <t xml:space="preserve"> Processus d’animation de la qualité et d’amélioration continue </t>
  </si>
  <si>
    <t xml:space="preserve"> Mettre en œuvre une démarche qualité transverse, reposant sur la capitalisation, la revue des incidents et la promotion des bonnes pratiques. </t>
  </si>
  <si>
    <t xml:space="preserve"> Collecter les retours d’expérience et données qualité </t>
  </si>
  <si>
    <t xml:space="preserve"> Analyser les causes racines des défaillances </t>
  </si>
  <si>
    <t xml:space="preserve"> Identifier les axes d’amélioration prioritaires </t>
  </si>
  <si>
    <t xml:space="preserve"> Déployer les plans d’action d’amélioration </t>
  </si>
  <si>
    <t xml:space="preserve"> Suivre les indicateurs qualité et initier les revues </t>
  </si>
  <si>
    <t>Support Opérationnel aux Activités Networks &amp; IS</t>
  </si>
  <si>
    <t>Cette macro regroupe les fonctions de soutien essentielles à la continuité des opérations techniques des réseaux et systèmes d’information. Elle vise à garantir que les équipes de terrain et d’exploitation disposent en permanence des moyens humains, matériels, logistiques, documentaires et organisationnels nécessaires. Cela inclut la gestion des accès aux sites techniques, la mise à disposition des outils d’intervention, le support logistique et administratif, la coordination des ressources transverses (astreintes, plan de charge), ainsi que la gestion documentaire et des référentiels. Ce support transversal renforce la réactivité, la sécurité et l’efficacité opérationnelle. Elle s’appuie principalement sur les macro eTOM Service Support &amp; Readiness, Resource Provisioning, et Enterprise Effectiveness Management, en lien avec ITIL (Service Operation).</t>
  </si>
  <si>
    <t>M3_P1</t>
  </si>
  <si>
    <t xml:space="preserve"> Processus de gestion des accès techniques </t>
  </si>
  <si>
    <t xml:space="preserve"> Gérer les droits d’accès physiques et logiques aux infrastructures réseau et IT pour garantir la sécurité et la traçabilité des interventions. </t>
  </si>
  <si>
    <t xml:space="preserve"> Définir les types d'accès selon les profils </t>
  </si>
  <si>
    <t>Direction Infrastructure
Infrastructure IT
Direction Field Operations
Direction Core Operations
Cybersécurité</t>
  </si>
  <si>
    <t xml:space="preserve"> Enregistrer et valider les demandes d'accès </t>
  </si>
  <si>
    <t xml:space="preserve"> Mettre à jour les bases d’autorisations </t>
  </si>
  <si>
    <t xml:space="preserve"> Suivre les accès et révoquer les droits obsolètes </t>
  </si>
  <si>
    <t xml:space="preserve"> Auditer périodiquement les accès </t>
  </si>
  <si>
    <t>M3_P2</t>
  </si>
  <si>
    <t xml:space="preserve"> Processus de mise à disposition des outils et équipements </t>
  </si>
  <si>
    <t xml:space="preserve"> Fournir aux équipes techniques les outils, logiciels et équipements nécessaires à la réalisation des opérations réseau et IT. </t>
  </si>
  <si>
    <t xml:space="preserve"> Recenser les besoins en outils et équipements </t>
  </si>
  <si>
    <t xml:space="preserve">Direction Technical business support
Direction Network Enginnering
</t>
  </si>
  <si>
    <t xml:space="preserve"> Gérer les stocks et les approvisionnements </t>
  </si>
  <si>
    <t xml:space="preserve"> Allouer les outils selon les affectations </t>
  </si>
  <si>
    <t xml:space="preserve"> Assurer la maintenance et le remplacement des outils </t>
  </si>
  <si>
    <t xml:space="preserve"> Suivre l'utilisation et anticiper les renouvellements </t>
  </si>
  <si>
    <t>M3_P3</t>
  </si>
  <si>
    <t xml:space="preserve"> Processus de support logistique aux opérations </t>
  </si>
  <si>
    <t xml:space="preserve"> Organiser et assurer la logistique des interventions techniques, y compris transport, livraison et disponibilité des moyens. </t>
  </si>
  <si>
    <t xml:space="preserve"> Planifier les livraisons de matériel </t>
  </si>
  <si>
    <t xml:space="preserve">Direction Technical business support
 IT Support &amp; Service Desk
</t>
  </si>
  <si>
    <t xml:space="preserve"> Coordonner les moyens de transport </t>
  </si>
  <si>
    <t xml:space="preserve"> Gérer les flux de pièces détachées </t>
  </si>
  <si>
    <t xml:space="preserve"> Suivre les mouvements de matériel </t>
  </si>
  <si>
    <t xml:space="preserve"> Assurer la disponibilité sur site des ressources </t>
  </si>
  <si>
    <t>M3_P4</t>
  </si>
  <si>
    <t xml:space="preserve"> Processus de gestion documentaire technique </t>
  </si>
  <si>
    <t xml:space="preserve"> Mettre à disposition et maintenir à jour la documentation technique nécessaire à l’exécution des activités réseau &amp; IT. </t>
  </si>
  <si>
    <t xml:space="preserve"> Collecter les documents techniques à jour </t>
  </si>
  <si>
    <t>Direction Network Engineering
IT Product &amp; Project Delivery
Direction PMO &amp; Gouvernance
Directions et Départements opérations</t>
  </si>
  <si>
    <t xml:space="preserve"> Valider les versions et référentiels </t>
  </si>
  <si>
    <t xml:space="preserve"> Archiver les configurations critiques </t>
  </si>
  <si>
    <t xml:space="preserve"> Diffuser les documents aux équipes </t>
  </si>
  <si>
    <t xml:space="preserve"> Intégrer les retours terrain dans la documentation </t>
  </si>
  <si>
    <t>M3_P5</t>
  </si>
  <si>
    <t xml:space="preserve"> Processus de coordination des moyens humains transverses </t>
  </si>
  <si>
    <t xml:space="preserve"> Assurer la disponibilité et l’affectation efficace des ressources humaines opérationnelles nécessaires au bon déroulement des activités. </t>
  </si>
  <si>
    <t xml:space="preserve"> Recenser les besoins humains selon la charge </t>
  </si>
  <si>
    <t>Direction Network Engineering
Directions Core Operations
Directions Field Operations
Direction Fix Network</t>
  </si>
  <si>
    <t xml:space="preserve"> Élaborer les plannings et astreintes </t>
  </si>
  <si>
    <t xml:space="preserve"> Gérer les remplacements urgents </t>
  </si>
  <si>
    <t xml:space="preserve"> Coordonner les interventions multi-domaines </t>
  </si>
  <si>
    <t xml:space="preserve"> Assurer la couverture continue des services </t>
  </si>
  <si>
    <t>M3_P6</t>
  </si>
  <si>
    <t xml:space="preserve"> Processus de gestion des incidents critiques liés au support </t>
  </si>
  <si>
    <t xml:space="preserve"> Assurer la détection, l’analyse et la résolution rapide des incidents impactant les moyens de support aux activités techniques. </t>
  </si>
  <si>
    <t xml:space="preserve"> Surveiller les incidents liés au support </t>
  </si>
  <si>
    <t>Direction Technical business support
 IT Support &amp; Service Desk</t>
  </si>
  <si>
    <t xml:space="preserve"> Qualifier l'impact sur les opérations </t>
  </si>
  <si>
    <t xml:space="preserve"> Communiquer avec les entités concernées </t>
  </si>
  <si>
    <t xml:space="preserve"> Documenter le retour d’expérience </t>
  </si>
  <si>
    <t xml:space="preserve">Gestion Budgétaire (Investissement et Opérationnel)  </t>
  </si>
  <si>
    <t>Cette macro regroupe l’ensemble des processus liés à la gestion financière des activités techniques réseau et IT. Elle vise à planifier, exécuter, suivre et ajuster les budgets CAPEX (investissements) et OPEX (fonctionnement) en garantissant leur alignement avec les orientations stratégiques, les capacités techniques et les contraintes économiques. Elle comprend l’identification des besoins budgétaires, l’élaboration des prévisions, l’allocation des ressources, le suivi des consommations réelles, l’analyse des écarts, et la mise en place de plans d’optimisation. Elle s’appuie sur une collaboration étroite avec les équipes financières et les responsables techniques. Elle mobilise les macros eTOM suivants : Financial &amp; Asset Management et Enterprise Strategic Planning.</t>
  </si>
  <si>
    <t>M4_P1</t>
  </si>
  <si>
    <t xml:space="preserve"> Processus d’identification des besoins budgétaires </t>
  </si>
  <si>
    <t xml:space="preserve"> Recenser et qualifier les besoins financiers liés aux projets, opérations et évolutions techniques à venir. </t>
  </si>
  <si>
    <t xml:space="preserve"> Identifier les besoins des unités opérationnelles </t>
  </si>
  <si>
    <t>CTIO
Direction Technical business support
Toutes les Directions Network &amp;IS</t>
  </si>
  <si>
    <t xml:space="preserve"> Consolider les expressions de besoins </t>
  </si>
  <si>
    <t xml:space="preserve"> Estimer les coûts prévisionnels CAPEX/OPEX </t>
  </si>
  <si>
    <t xml:space="preserve"> Classer les besoins par priorité et criticité </t>
  </si>
  <si>
    <t>M4_P2</t>
  </si>
  <si>
    <t xml:space="preserve"> Processus de construction budgétaire prévisionnelle </t>
  </si>
  <si>
    <t xml:space="preserve"> Élaborer les budgets annuels et pluriannuels en alignement avec les orientations stratégiques et les contraintes économiques. </t>
  </si>
  <si>
    <t xml:space="preserve"> Collecter les projections financières des entités </t>
  </si>
  <si>
    <t xml:space="preserve"> Consolider les enveloppes CAPEX et OPEX </t>
  </si>
  <si>
    <t xml:space="preserve"> Arbitrer les priorités budgétaires </t>
  </si>
  <si>
    <t xml:space="preserve"> Soumettre les budgets aux instances de validation </t>
  </si>
  <si>
    <t>M4_P3</t>
  </si>
  <si>
    <t xml:space="preserve"> Processus d’allocation et ventilation budgétaire </t>
  </si>
  <si>
    <t xml:space="preserve"> Répartir les ressources financières par projet, activité ou entité pour assurer un usage optimal des fonds disponibles. </t>
  </si>
  <si>
    <t xml:space="preserve"> Définir les règles de ventilation budgétaire </t>
  </si>
  <si>
    <t xml:space="preserve"> Allouer les enveloppes par projet ou programme </t>
  </si>
  <si>
    <t xml:space="preserve"> Notifier les affectations aux parties prenantes </t>
  </si>
  <si>
    <t xml:space="preserve"> Mettre à jour les référentiels de suivi budgétaire </t>
  </si>
  <si>
    <t>M4_P4</t>
  </si>
  <si>
    <t xml:space="preserve"> Processus de suivi et pilotage de la consommation budgétaire </t>
  </si>
  <si>
    <t xml:space="preserve"> Contrôler l’exécution des dépenses par rapport aux prévisions pour assurer la maîtrise financière continue. </t>
  </si>
  <si>
    <t xml:space="preserve"> Suivre la consommation budgétaire en temps réel </t>
  </si>
  <si>
    <t xml:space="preserve"> Comparer dépenses engagées vs prévisionnelles </t>
  </si>
  <si>
    <t xml:space="preserve"> Identifier les écarts significatifs </t>
  </si>
  <si>
    <t xml:space="preserve"> Réaliser les reportings périodiques </t>
  </si>
  <si>
    <t>M4_P5</t>
  </si>
  <si>
    <t xml:space="preserve"> Processus d’analyse et justification des écarts </t>
  </si>
  <si>
    <t xml:space="preserve"> Analyser les écarts budgétaires, en déterminer les causes et proposer des ajustements pour corriger les dérives. </t>
  </si>
  <si>
    <t xml:space="preserve"> Collecter les données de dépenses réelles </t>
  </si>
  <si>
    <t xml:space="preserve"> Analyser les écarts par ligne budgétaire </t>
  </si>
  <si>
    <t xml:space="preserve"> Identifier les facteurs d’écart (retard, surcoût) </t>
  </si>
  <si>
    <t xml:space="preserve"> Proposer des mesures correctives </t>
  </si>
  <si>
    <t>M4_P6</t>
  </si>
  <si>
    <t xml:space="preserve"> Processus d’optimisation et d’arbitrage budgétaire </t>
  </si>
  <si>
    <t xml:space="preserve"> Réaliser des ajustements et réaffectations pour optimiser l’usage des ressources financières en cours d’exercice. </t>
  </si>
  <si>
    <t xml:space="preserve"> Identifier les budgets sous-utilisés ou en tension </t>
  </si>
  <si>
    <t xml:space="preserve"> Réévaluer les priorités d’investissement </t>
  </si>
  <si>
    <t xml:space="preserve"> Proposer des réallocations budgétaires </t>
  </si>
  <si>
    <t xml:space="preserve"> Mettre à jour les prévisions financières </t>
  </si>
  <si>
    <t>M4_P7</t>
  </si>
  <si>
    <t xml:space="preserve"> Processus de contribution aux exercices financiers globaux </t>
  </si>
  <si>
    <t xml:space="preserve"> Participer aux processus financiers transverses de l’entreprise (forecasts, clôtures, business plan). </t>
  </si>
  <si>
    <t xml:space="preserve"> Transmettre les données budgétaires consolidées </t>
  </si>
  <si>
    <t xml:space="preserve">CTIO
Direction Technical business support
</t>
  </si>
  <si>
    <t xml:space="preserve"> Participer aux comités financiers </t>
  </si>
  <si>
    <t xml:space="preserve"> Intégrer les exigences du contrôle de gestion </t>
  </si>
  <si>
    <t xml:space="preserve"> Réviser les hypothèses économiques partagées </t>
  </si>
  <si>
    <t xml:space="preserve"> Conception &amp; Ingénierie Networks &amp; IS</t>
  </si>
  <si>
    <t>Cette macro regroupe l’ensemble des activités visant à concevoir les infrastructures et les services techniques en réponse aux besoins futurs               ( métiers, technologiques et opérationnels) . Elle couvre l’analyse des besoins, la définition des services à fournir, le dimensionnement, la sélection des technologies, l’architecture, l’ingénierie détaillée, les validations, ainsi que la mise à jour des référentiels. La conception des services est un pivot central, reposant sur les capacités actuelles et futurs des infrastructures, et traduisant les exigences fonctionnelles en solutions opérationnelles. Ce processus garantit que les offres de service fournis et à fournir soient robustes, scalables, sécurisées et alignées sur les standards. La macro s’inscrit dans une logique de bout en bout, depuis l’identification du besoin jusqu’à la production d’une solution technique validée et documentée, prête à être déployée ou intégrée. Elle est alignée avec les référentiels eTOM ( Readiness), ITIL (Service Design).</t>
  </si>
  <si>
    <t>M5_P1</t>
  </si>
  <si>
    <t xml:space="preserve"> Processus d’analyse des besoins futurs réseau &amp; SI </t>
  </si>
  <si>
    <t xml:space="preserve"> Recueillir et formaliser les exigences techniques, métiers et contraintes pour les nouvelles conceptions et évolutions. </t>
  </si>
  <si>
    <t xml:space="preserve"> Recueillir les exigences métier et trafic </t>
  </si>
  <si>
    <t xml:space="preserve">
Direction Network Engineering
Infrastructure IT
IT Product &amp; Project Delivery
</t>
  </si>
  <si>
    <t xml:space="preserve"> Analyser les contraintes non-fonctionnelles (latence, SLA, sécurité) </t>
  </si>
  <si>
    <t xml:space="preserve"> Cartographier les dépendances existantes </t>
  </si>
  <si>
    <t xml:space="preserve"> Calculer les besoins IT (CPU, RAM, stockage) </t>
  </si>
  <si>
    <t xml:space="preserve"> Simuler les scénarios de montée en charge </t>
  </si>
  <si>
    <t>M5_P2</t>
  </si>
  <si>
    <t xml:space="preserve"> Processus de sélection technologique </t>
  </si>
  <si>
    <t xml:space="preserve"> Identifier et valider les solutions technologiques et fournisseurs répondant aux exigences techniques et économiques. </t>
  </si>
  <si>
    <t xml:space="preserve"> Identifier les solutions technologiques possibles </t>
  </si>
  <si>
    <t>Direction Network Engineering
Infrastructure IT
IT Product &amp; Project Delivery</t>
  </si>
  <si>
    <t xml:space="preserve"> Analyser les coûts, avantages et risques </t>
  </si>
  <si>
    <t xml:space="preserve"> Effectuer des POC ou benchmarks </t>
  </si>
  <si>
    <t xml:space="preserve"> Sélectionner les solutions retenues </t>
  </si>
  <si>
    <t>M5_P3</t>
  </si>
  <si>
    <t xml:space="preserve"> Processus de définition de l’architecture </t>
  </si>
  <si>
    <t xml:space="preserve"> Concevoir l’architecture cible (logique, technique et physique) pour répondre aux besoins en interopérabilité, sécurité et performance. </t>
  </si>
  <si>
    <t xml:space="preserve"> Élaborer la topologie réseau (accès, transport, cœur) </t>
  </si>
  <si>
    <t xml:space="preserve">Direction Network Engineering
Infrastructure IT 
IT Product &amp; Project Delivery
</t>
  </si>
  <si>
    <t xml:space="preserve"> Valider les scénarios d’usage cibles </t>
  </si>
  <si>
    <t>M5_P4</t>
  </si>
  <si>
    <t xml:space="preserve"> Processus de conception des services techniques</t>
  </si>
  <si>
    <t xml:space="preserve"> Définir les caractéristiques fonctionnelles et techniques des services à délivrer, en cohérence avec les capacités d’infrastructure. </t>
  </si>
  <si>
    <t xml:space="preserve"> Définir les fonctions clés du service cible </t>
  </si>
  <si>
    <t xml:space="preserve"> Modéliser les parcours et points de contrôle du service </t>
  </si>
  <si>
    <t xml:space="preserve"> Identifier les dépendances aux ressources techniques </t>
  </si>
  <si>
    <t xml:space="preserve"> Définir les SLA, OLA et indicateurs associés </t>
  </si>
  <si>
    <t>M5_P5</t>
  </si>
  <si>
    <t xml:space="preserve"> Processus de dimensionnement &amp; capacité </t>
  </si>
  <si>
    <t xml:space="preserve"> Évaluer les ressources nécessaires pour garantir la performance, la disponibilité et l’évolutivité des infrastructures et services. </t>
  </si>
  <si>
    <t xml:space="preserve"> Estimer les consommations de trafic futur </t>
  </si>
  <si>
    <t xml:space="preserve">Direction Network Engineering
Infrastructure IT
</t>
  </si>
  <si>
    <t xml:space="preserve"> Dimensionner les liens, buffers et équipements </t>
  </si>
  <si>
    <t xml:space="preserve"> Définir le plan d’adressage, routage, redondance </t>
  </si>
  <si>
    <t xml:space="preserve"> Modéliser les couches d’architecture SI </t>
  </si>
  <si>
    <t xml:space="preserve"> Vérifier la cohérence avec les normes internes </t>
  </si>
  <si>
    <t>M5_P6</t>
  </si>
  <si>
    <t xml:space="preserve"> Processus d’ingénierie de solutions </t>
  </si>
  <si>
    <t xml:space="preserve"> Rédiger les spécifications techniques détaillées pour le déploiement des infrastructures ou services. </t>
  </si>
  <si>
    <t xml:space="preserve"> Rédiger les cahiers des charges techniques </t>
  </si>
  <si>
    <t xml:space="preserve"> Définir les interfaces et protocoles </t>
  </si>
  <si>
    <t xml:space="preserve"> Produire les schémas de câblage et d’intégration </t>
  </si>
  <si>
    <t xml:space="preserve"> Valider les livrables avec les parties prenantes </t>
  </si>
  <si>
    <t>M5_P7</t>
  </si>
  <si>
    <t xml:space="preserve"> Processus de simulation et validation </t>
  </si>
  <si>
    <t xml:space="preserve"> Tester virtuellement ou en environnement restreint la faisabilité et les performances des conceptions proposées. </t>
  </si>
  <si>
    <t xml:space="preserve"> Construire les scénarios de test </t>
  </si>
  <si>
    <t xml:space="preserve"> Simuler la performance sous contrainte </t>
  </si>
  <si>
    <t xml:space="preserve"> Identifier les risques et points de rupture </t>
  </si>
  <si>
    <t xml:space="preserve"> Adapter la conception si besoin </t>
  </si>
  <si>
    <t>M5_P8</t>
  </si>
  <si>
    <t xml:space="preserve"> Processus de mise à jour des référentiels d’architecture </t>
  </si>
  <si>
    <t xml:space="preserve"> Actualiser les standards, guides, catalogues et bonnes pratiques d’architecture et d’ingénierie. </t>
  </si>
  <si>
    <t xml:space="preserve"> Collecter les retours d’expérience </t>
  </si>
  <si>
    <t>Direction Network Engineering
Infrastructure IT</t>
  </si>
  <si>
    <t xml:space="preserve"> Mettre à jour les modèles de référence </t>
  </si>
  <si>
    <t xml:space="preserve"> Diffuser les standards actualisés </t>
  </si>
  <si>
    <t xml:space="preserve"> Assurer le partage inter-domaines </t>
  </si>
  <si>
    <t>---</t>
  </si>
  <si>
    <t xml:space="preserve">Déploiement &amp; Extension Infrastructure Networks &amp; IS </t>
  </si>
  <si>
    <t xml:space="preserve">                                                                             </t>
  </si>
  <si>
    <t>Cette macro englobe l’ensemble des activités permettant de transformer les architectures conçues en infrastructures réellement opérationnelles, tant sur les réseaux mobiles, fixes, de transport, que sur les plateformes informatiques (serveurs, virtualisation, stockage). Elle couvre le cycle complet de mise en œuvre, extension, modernisation des ressources physiques et logiquesjusqu'a leurs mise en service . Elle débute après la phase d’ingénierie, et s’inscrit dans le domaine « Capacity &amp; Resource Delivery » de l’eTOM et le domaine « Service Transition » de l’ITIL v4. Elle garantit que les solutions sont livrées en conformité avec les exigences de performance, qualité de service, sécurité et continuité, tout en assurant une coordination rigoureuse entre les équipes projet, terrain, support et fournisseurs. Les étapes clés incluent : la planification détaillée du déploiement, la réservation et le provisioning des ressources, l’installation et la configuration des équipements, l’intégration dans l’écosystème existant, les tests d’acceptation, la documentation finale et le hand‑over vers l’exploitation.</t>
  </si>
  <si>
    <t>M6_P1</t>
  </si>
  <si>
    <t xml:space="preserve"> Processus de planification des déploiements </t>
  </si>
  <si>
    <t xml:space="preserve"> Définir et organiser les lots de déploiement ou d’extension des infrastructures Radio, FH/FO, IP/MPLS, Core et IT,en cohérence avec les capacités, priorités projets et contraintes opérationnelles &amp; budgetaires . </t>
  </si>
  <si>
    <t>Définir le périmètre du déploiement (type de services, zones, sites, etc)</t>
  </si>
  <si>
    <t xml:space="preserve">
Direction Network Engineering
Direction Infrastructure
Infrastructure IT
IT Product &amp; Project Delivery
Direction PMO &amp; Gouvernance
</t>
  </si>
  <si>
    <t xml:space="preserve"> Consolider les besoins issus de l’ingénierie et du capacity planning</t>
  </si>
  <si>
    <t xml:space="preserve"> Élaborer le plan directeur de déploiement (phases, priorités, jalons)</t>
  </si>
  <si>
    <t xml:space="preserve"> Évaluer les impacts sur les systèmes existants</t>
  </si>
  <si>
    <t xml:space="preserve"> Coordonner toutes les parties prenantes ( Internes et Externes)</t>
  </si>
  <si>
    <t>Organiser la gouvernance projet et le pilotage interdomaines</t>
  </si>
  <si>
    <t>M6_P2</t>
  </si>
  <si>
    <t>Processus d'Acquisition  des ressources</t>
  </si>
  <si>
    <t xml:space="preserve">Mettre à disposition les ressources physiques, logicielles et virtuelles nécessaires au déploiement des infrastructures et services, tout en prevoyant la mise à disposition d'un stock minimal en PDR  pour la maintenace </t>
  </si>
  <si>
    <t>Émettre les commandes d’équipements (BBU, RRU, MW, routers, servers, licences VM, middleware etc,,,)</t>
  </si>
  <si>
    <t xml:space="preserve">
Direction Network Engineering
Direction Infrastructure
Infrastructure IT
IT Product &amp; Project Delivery
Direction Technical Business Support
</t>
  </si>
  <si>
    <t xml:space="preserve"> Assurer la gestion logistique (réception, entreposage, acheminement site, suivi de lot)</t>
  </si>
  <si>
    <t xml:space="preserve"> Préparer les configurations initiales  (preload, scripts initiaux)</t>
  </si>
  <si>
    <t xml:space="preserve"> Faire les previsions techniques (Réserver les adresses IP, VLAN, numérotations)</t>
  </si>
  <si>
    <t xml:space="preserve"> Valider la disponibilité et la conformité des ressources allouées ,</t>
  </si>
  <si>
    <t>M6_P3</t>
  </si>
  <si>
    <t xml:space="preserve"> Processus d’installation et de déploiement sur site</t>
  </si>
  <si>
    <t>Réaliser l’installation physique et la mise en service des éléments passifs et actifs (énergie, FH/FO, antennes, IP nodes, serveurs) selon les standards opérateur et exigences de sécurité.</t>
  </si>
  <si>
    <t xml:space="preserve"> Effectuer la mise en place de l’infrastructure passive (armoire, ODF, DDF, chemins de câbles, grounding)</t>
  </si>
  <si>
    <t xml:space="preserve">
Direction Network Engineering
Direction Infrastructure
Infrastructure IT
</t>
  </si>
  <si>
    <t xml:space="preserve"> Installer les équipements actifs (RBS/eNB/gNB, routers, switches, firewalls, serveurs, stockage)</t>
  </si>
  <si>
    <t xml:space="preserve"> Réaliser les liaisons FH/FO, les tests d’atténuation et d’alimentation</t>
  </si>
  <si>
    <t xml:space="preserve"> Vérifier la connectivité intrasite et intersite</t>
  </si>
  <si>
    <t xml:space="preserve"> Valider l’installation physique conforme aux plans </t>
  </si>
  <si>
    <t>M6_P4</t>
  </si>
  <si>
    <t xml:space="preserve">Processus de configuration, intégration réseau et interconnexion </t>
  </si>
  <si>
    <t>Configurer les équipements déployés et assurer leur intégration dans les réseaux existants (radio, transport, cœur, IT) et dans les systèmes de gestion (OSS, BSS...).</t>
  </si>
  <si>
    <t xml:space="preserve"> Charger les configurations initiales (paramètres RF, IP, VLAN, routage, sécurité)</t>
  </si>
  <si>
    <t>Direction Network Engineering
Direction Infrastructure
Infrastructure IT
IT Product &amp; Project Delivery</t>
  </si>
  <si>
    <t xml:space="preserve"> Effectuer les intégrations dans les contrôleurs (BSC, RNC, eNB, gNB, routers, EPC, 5GC)</t>
  </si>
  <si>
    <t xml:space="preserve"> Enregistrer les équipements dans les outils OSS (ENM, U2000, SolarWinds, etc.)</t>
  </si>
  <si>
    <t xml:space="preserve"> Connecter les serveurs/VM aux environnements applicatifs et bases de données</t>
  </si>
  <si>
    <t xml:space="preserve"> Vérifier la communication bidirectionnelle OSS ↔ SI (alarme, inventaire, PM)</t>
  </si>
  <si>
    <t>M6_P5</t>
  </si>
  <si>
    <t>Processus de tests et mise en service opérationnelle</t>
  </si>
  <si>
    <t>Assurer la conformité technique et fonctionnelle du déploiement à travers des tests d’acceptance couvrant les couches physiques, IP, applicatives et de service, avant bascule en production.</t>
  </si>
  <si>
    <t xml:space="preserve"> Élaborer les plans de tests (fonctionnels, charge, QoS) </t>
  </si>
  <si>
    <t xml:space="preserve">Direction Network Engineering
Direction Infrastructure
Infrastructure IT
IT Product &amp; Project Delivery
</t>
  </si>
  <si>
    <t xml:space="preserve"> Vérifier la QoS (KPIs RSRP, SINR, RTT, throughput, CPU/Memory)</t>
  </si>
  <si>
    <t xml:space="preserve"> Effectuer les tests des services de bout en bout (service voice, data, signaling, API)</t>
  </si>
  <si>
    <t>M6_P6</t>
  </si>
  <si>
    <t xml:space="preserve">Processus d'Acceptance </t>
  </si>
  <si>
    <t>verifier et valider les aspects techniques des deploiements et des extensions ,</t>
  </si>
  <si>
    <t xml:space="preserve">contrôler la conformité des installations </t>
  </si>
  <si>
    <t>Direction Network Engineering</t>
  </si>
  <si>
    <t xml:space="preserve">effectuer des tests technique necessaire </t>
  </si>
  <si>
    <t>Direction Infrastructure</t>
  </si>
  <si>
    <t xml:space="preserve"> Documenter les résultats et écarts </t>
  </si>
  <si>
    <t>Infrastructure IT</t>
  </si>
  <si>
    <t xml:space="preserve"> Obtenir les PV d’acceptance</t>
  </si>
  <si>
    <t>IT Product &amp; Project Delivery</t>
  </si>
  <si>
    <t>M6_P7</t>
  </si>
  <si>
    <t>Processus de transfert aux opérations et clôture projet</t>
  </si>
  <si>
    <t>Documenter l’ensemble du déploiement (infrastructures, configurations, résultats de tests) et assurer le transfert complet( Document ,PDR,Competences)  vers les entités d’exploitation, de supervision et de support applicatif</t>
  </si>
  <si>
    <t xml:space="preserve"> Compiler les livrables techniques (plans, configs, PV,  logs)</t>
  </si>
  <si>
    <t xml:space="preserve">Direction Network Engineering
Direction Infrastructure
Infrastructure IT
IT Product &amp; Project Delivery
Direction Core Network (iSOC + Métiers)
IT Operations
</t>
  </si>
  <si>
    <t xml:space="preserve"> Mettre à jour la CMDB et les inventaires réseau/SI</t>
  </si>
  <si>
    <t xml:space="preserve"> Integrer les nouveau équipements et extensions  dans les outils de suppervision</t>
  </si>
  <si>
    <t xml:space="preserve"> Effectuer le transfert complet(Responsabilité, Document ,PDR,Competences etc,,,)  vers les equipes metier et de supervision </t>
  </si>
  <si>
    <t xml:space="preserve"> Clôturer le projet dans le portefeuille de déploiement et capitaliser les retours d’expérience</t>
  </si>
  <si>
    <t>Exploitation &amp; Maintenance Infrastructure Networks &amp; IS</t>
  </si>
  <si>
    <t>Description détaillée</t>
  </si>
  <si>
    <t>Description Micro-processus</t>
  </si>
  <si>
    <t>Code taches</t>
  </si>
  <si>
    <t>Taches</t>
  </si>
  <si>
    <t>Intervenants</t>
  </si>
  <si>
    <t>Owner Network</t>
  </si>
  <si>
    <t xml:space="preserve">Owner SI </t>
  </si>
  <si>
    <r>
      <t xml:space="preserve">Cette macro regroupe l’ensemble des activités nécessaires pour assurer le fonctionnement continu, la surveillance, la maintenance corrective&amp; préventive et les changements sur les infrastructures N&amp;IS, tout en garantissant la QoS. Elle couvre la coordination avec les ressources support. Elle s’appuie sur les processus Operations d’eTOM  et sur les  best practice d’ITIL (Incident, Event, Problem, Access, Request). Elle vise à restaurer le service le plus vite possible, minimiser les interruptions, anticiper les pannes, optimiser la fiabilité, reduire les pannes recurenttes  et prolonger la durée de vie des équipements.
Les principales activités sont :
- Surveillance et détection d’incidents &amp; problemes (Critique , Majeur , mineur ) sur les équipements, liens et les services via les les plateformes dediées 
- Gestion des incidents : priorisation, diagnostic, escalade, résolution, communication, clôture.
- Gestion des problèmes : identification de causes profondes, suivi des actions correctives.  
- Gestion des changements : Pilotation des demandes de changement de bout en bout 
- Maintenance curative et préventive   
- </t>
    </r>
    <r>
      <rPr>
        <sz val="12"/>
        <color rgb="FFFF0000"/>
        <rFont val="Aptos Narrow"/>
        <family val="2"/>
        <scheme val="minor"/>
      </rPr>
      <t>Analyse de fiabilité et tendances (Suivi Indicateurs)</t>
    </r>
    <r>
      <rPr>
        <sz val="12"/>
        <color theme="1"/>
        <rFont val="Aptos Narrow"/>
        <family val="2"/>
        <scheme val="minor"/>
      </rPr>
      <t xml:space="preserve"> : suivi des indicateurs (DR1,DR2,MTTR, MTBF, taux de panne, taux de disponibilité etc. . . )  
- Interface avec les équipes de support</t>
    </r>
    <r>
      <rPr>
        <sz val="12"/>
        <color rgb="FFFF0000"/>
        <rFont val="Aptos Narrow"/>
        <family val="2"/>
        <scheme val="minor"/>
      </rPr>
      <t xml:space="preserve"> (Logistique, orestataire, Business support, Gestion des pièces de rechange et  la planification des interventions)</t>
    </r>
    <r>
      <rPr>
        <sz val="12"/>
        <color theme="1"/>
        <rFont val="Aptos Narrow"/>
        <family val="2"/>
        <scheme val="minor"/>
      </rPr>
      <t xml:space="preserve">
'-Gestion des pièces de rechange et  la planification des interventions
- Documentation et reporting : mise à jour de la base de connaissance  des incidents.
Cette macro assure que les services délivrés  sont disponibles, fiables et performants, tout en anticipant les dégradations et en pilotant l’amélioration continue.</t>
    </r>
  </si>
  <si>
    <t>M7_P1</t>
  </si>
  <si>
    <t xml:space="preserve"> Processus de supervision </t>
  </si>
  <si>
    <t xml:space="preserve"> Surveiller en temps réel l’état des équipements, services et ressources réseaux et IT pour détecter les anomalies ou dégradations. </t>
  </si>
  <si>
    <t xml:space="preserve"> Collecter les evenements via les outils de monitoring </t>
  </si>
  <si>
    <t xml:space="preserve">
Direction Core Operations(iSOC)
IT Operations(iSOC)
</t>
  </si>
  <si>
    <t>DCO</t>
  </si>
  <si>
    <t>IT OPERATION</t>
  </si>
  <si>
    <t xml:space="preserve"> Détecter les alarmes et événements anormaux </t>
  </si>
  <si>
    <t xml:space="preserve"> Corréler les alertes multi-domaines </t>
  </si>
  <si>
    <t xml:space="preserve"> Qualifier et prioriser les événements </t>
  </si>
  <si>
    <t>M7_P2</t>
  </si>
  <si>
    <t xml:space="preserve"> Processus de gestion des incidents </t>
  </si>
  <si>
    <t xml:space="preserve"> Gérer les incidents pour restaurer le service le plus rapidement possible tout en limitant l’impact sur les utilisateurs ou systèmes. </t>
  </si>
  <si>
    <t xml:space="preserve"> Enregistrer les incidents détectés ou déclarés et le classifier</t>
  </si>
  <si>
    <t xml:space="preserve">
Direction Core Operations(iSOC)
IT Operations(iSOC)</t>
  </si>
  <si>
    <t xml:space="preserve"> Diagnostiquer la cause immédiate </t>
  </si>
  <si>
    <t xml:space="preserve"> Réaliser les actions de niveau 1 si necessaire </t>
  </si>
  <si>
    <t xml:space="preserve"> Escalader selon la criticité </t>
  </si>
  <si>
    <t xml:space="preserve"> Communiquer avec les parties prenantes </t>
  </si>
  <si>
    <t xml:space="preserve"> Clôturer et documenter l’incident </t>
  </si>
  <si>
    <t>M7_P3</t>
  </si>
  <si>
    <t xml:space="preserve"> Processus de gestion des problèmes </t>
  </si>
  <si>
    <t xml:space="preserve"> Identifier et corriger les causes racines des incidents récurrents ou majeurs pour éviter leur réapparition. </t>
  </si>
  <si>
    <t xml:space="preserve"> Identifier les problèmes à partir d’incidents récurrents </t>
  </si>
  <si>
    <t>Direction Core Operations(iSOC)
IT Operations(iSOC)</t>
  </si>
  <si>
    <t xml:space="preserve"> Réaliser les analyses de cause racine (RCA) </t>
  </si>
  <si>
    <t xml:space="preserve"> Identifier les erreurs connues et proposer des solutions </t>
  </si>
  <si>
    <t xml:space="preserve"> Suivre la mise en œuvre des actions correctives </t>
  </si>
  <si>
    <t xml:space="preserve"> Mettre à jour la base de connaissances </t>
  </si>
  <si>
    <t>M7_P4</t>
  </si>
  <si>
    <t xml:space="preserve"> Processus de Gestion de changement</t>
  </si>
  <si>
    <t>Piloter les modifications N&amp;IS (configurations, migrations, Ajout , Suppression etc).</t>
  </si>
  <si>
    <t xml:space="preserve">Justifier le changement </t>
  </si>
  <si>
    <t>Direction Core Operations
Directions Field Operations
Direction Energie
Direction Field Network
IT Operations
Gestionnaires plateformes IT</t>
  </si>
  <si>
    <t xml:space="preserve">soumettre la demande de changement </t>
  </si>
  <si>
    <t>faire valider par le comité de changement</t>
  </si>
  <si>
    <t>planifier la fenêtre de maintenance</t>
  </si>
  <si>
    <t xml:space="preserve">exécuter le changement </t>
  </si>
  <si>
    <t>réaliser des tests après changement</t>
  </si>
  <si>
    <t xml:space="preserve">Suivre les KPI de performance après le changement </t>
  </si>
  <si>
    <t xml:space="preserve">Cloturer l'activité </t>
  </si>
  <si>
    <t xml:space="preserve">mettre à jour la documentation </t>
  </si>
  <si>
    <t>M7_P5</t>
  </si>
  <si>
    <t xml:space="preserve"> Processus de maintenance préventive </t>
  </si>
  <si>
    <t xml:space="preserve"> Exécuter les actions techniques nécessaires pour prévenir les défaillances  et maintenir en bon etat les infrastructures. </t>
  </si>
  <si>
    <t xml:space="preserve"> Planifier les maintenances préventives </t>
  </si>
  <si>
    <t>DFO &amp;DE</t>
  </si>
  <si>
    <t xml:space="preserve"> Réaliser les opérations de vérification régulières </t>
  </si>
  <si>
    <t xml:space="preserve"> Intervenir sur site </t>
  </si>
  <si>
    <t xml:space="preserve"> Mettre à jour les historiques d’intervention </t>
  </si>
  <si>
    <t>M7_P6</t>
  </si>
  <si>
    <t xml:space="preserve"> Gérer les droits d’accès physiques  aux infrastructures réseau et IT pour garantir la sécurité et la traçabilité des interventions. </t>
  </si>
  <si>
    <t>Vérifier les habilitations des personnes entrant sur site</t>
  </si>
  <si>
    <t>DCO&amp;DI</t>
  </si>
  <si>
    <t xml:space="preserve"> Enregistrer et valider ou faire valider les demandes d'accès </t>
  </si>
  <si>
    <t xml:space="preserve">Tenir à jour le registre d’accès </t>
  </si>
  <si>
    <t xml:space="preserve">Appliquer les recommandations après Audit  </t>
  </si>
  <si>
    <t>Performance &amp; Optimisation Networks &amp; IS</t>
  </si>
  <si>
    <t>Cette macro couvre l’ensemble des activités visant à surveiller, analyser, maintenir et améliorer en continu la performance des infrastructures techniques et des services associés, dans une logique proactive et d’optimisation. Elle s’applique aux réseaux fixes, mobiles, plateformes IT, et services métiers ou techniques. L’objectif est de garantir un haut niveau de qualité de service (QoS), de disponibilité, et d’efficacité opérationnelle, tout en anticipant les dégradations et en adaptant les ressources aux évolutions des usages.
Elle intègre la collecte continue de métriques (temps de réponse, débit, disponibilité, erreurs), la détection de tendances ou d’anomalies, la gestion de la capacité (capacity management), l’analyse de la performance bout en bout, ainsi que la mise en œuvre de plans d’optimisation ou d’amélioration continue. Cette macro est également responsable de la mise en place de KPIs et dashboards décisionnels, du support aux métiers sur les sujets de qualité perçue, et de la contribution aux projets d’évolution en apportant une vision objective des performances existantes.
Alignée avec les processus Performance Management, Service Quality Management et Resource Performance Analysis du cadre eTOM, ainsi qu’avec les pratiques ITIL de Monitoring &amp; Event Management, Continual Improvement, et Capacity &amp; Performance Management, elle est essentielle pour piloter la performance technique et garantir l’alignement des capacités réseau &amp; IT avec les attentes métiers.</t>
  </si>
  <si>
    <t>M8_P1</t>
  </si>
  <si>
    <t xml:space="preserve"> Processus de mesure de la performance </t>
  </si>
  <si>
    <t xml:space="preserve"> Collecter, analyser et agréger les indicateurs de performance des infrastructures réseau et IT pour en évaluer le comportement. </t>
  </si>
  <si>
    <t xml:space="preserve"> Collecter les KPI des équipements (radio, IP, transport, IT) </t>
  </si>
  <si>
    <t>Direction Performance &amp; Optimisation
IT Operations
Infrastructure IT
Gestionnaire Plateforme IT</t>
  </si>
  <si>
    <t xml:space="preserve"> Consolider les données de performance via des sondes ou outils NMS </t>
  </si>
  <si>
    <t xml:space="preserve"> Évaluer la conformité par rapport aux seuils de performance </t>
  </si>
  <si>
    <t xml:space="preserve"> Générer des rapports périodiques ou à la demande </t>
  </si>
  <si>
    <t>M8_P2</t>
  </si>
  <si>
    <t xml:space="preserve"> Processus d’analyse de la qualité de service </t>
  </si>
  <si>
    <t xml:space="preserve"> Évaluer l’expérience utilisateur et la qualité des services fournis à travers des mesures techniques et subjectives. </t>
  </si>
  <si>
    <t xml:space="preserve"> Analyser les indicateurs QoS/QoE par service (voix, data, IT apps) </t>
  </si>
  <si>
    <t xml:space="preserve"> Identifier les anomalies ou dégradations par segment de réseau </t>
  </si>
  <si>
    <t xml:space="preserve"> Corréler les résultats avec les tickets ou plaintes clients </t>
  </si>
  <si>
    <t xml:space="preserve"> Définir des priorités de traitement en fonction des impacts </t>
  </si>
  <si>
    <t>M8_P3</t>
  </si>
  <si>
    <t xml:space="preserve"> Processus d’optimisation des capacités </t>
  </si>
  <si>
    <t xml:space="preserve"> Ajuster les ressources réseau et IT pour prévenir les congestions et garantir les performances nominales. </t>
  </si>
  <si>
    <t xml:space="preserve"> Surveiller les niveaux d’utilisation des ressources </t>
  </si>
  <si>
    <t>Direction Performance &amp; Optimisation
IT Operations
Infrastructure IT
Gestionnaire Plateforme IT
Direction Network Engineering</t>
  </si>
  <si>
    <t xml:space="preserve"> Identifier les zones à risque de saturation (cellules, liens, serveurs) </t>
  </si>
  <si>
    <t xml:space="preserve"> Recommander des actions d’upgrade ou de réallocation </t>
  </si>
  <si>
    <t xml:space="preserve"> Coordonner avec l’ingénierie pour intégrer les évolutions </t>
  </si>
  <si>
    <t>M8_P4</t>
  </si>
  <si>
    <t xml:space="preserve"> Processus d’optimisation de la configuration </t>
  </si>
  <si>
    <t xml:space="preserve"> Adapter dynamiquement les paramètres des équipements et plateformes pour maximiser les performances. </t>
  </si>
  <si>
    <t xml:space="preserve"> Auditer les configurations existantes (radio, core, IP, IT) </t>
  </si>
  <si>
    <t xml:space="preserve"> Comparer avec les best practices et les recommandations constructeur </t>
  </si>
  <si>
    <t xml:space="preserve"> Appliquer les modifications correctives ou préventives </t>
  </si>
  <si>
    <t xml:space="preserve"> Suivre les impacts post-modification </t>
  </si>
  <si>
    <t>M8_P5</t>
  </si>
  <si>
    <t xml:space="preserve"> Processus de pilotage des performances </t>
  </si>
  <si>
    <t xml:space="preserve"> Superviser en continu les performances et mettre en œuvre des actions correctives en cas d’écart ou de dégradation. </t>
  </si>
  <si>
    <t xml:space="preserve"> Mettre en place des tableaux de bord de suivi temps réel </t>
  </si>
  <si>
    <t xml:space="preserve"> Définir des alertes automatiques sur seuils critiques </t>
  </si>
  <si>
    <t xml:space="preserve"> Lancer des diagnostics en cas de dérive </t>
  </si>
  <si>
    <t xml:space="preserve"> Escalader ou corriger selon les processus établis </t>
  </si>
  <si>
    <t>M8_P6</t>
  </si>
  <si>
    <t xml:space="preserve"> Processus de capacity planning </t>
  </si>
  <si>
    <t xml:space="preserve"> Anticiper les besoins en ressources réseau et IT à moyen-long terme en fonction des usages et de la croissance attendue. </t>
  </si>
  <si>
    <t xml:space="preserve"> Projeter les évolutions de trafic et de charge applicative </t>
  </si>
  <si>
    <t>Infrastructure IT
Gestionnaire Plateforme IT
Direction Network Engineering
IT Product &amp; Project Delivery</t>
  </si>
  <si>
    <t xml:space="preserve"> Élaborer des modèles de prévision et de dimensionnement </t>
  </si>
  <si>
    <t xml:space="preserve"> Déterminer les investissements nécessaires </t>
  </si>
  <si>
    <t xml:space="preserve"> Intégrer ces besoins dans les roadmaps et plans de déploiement </t>
  </si>
  <si>
    <t xml:space="preserve">Management des Projets Networks &amp; IS  </t>
  </si>
  <si>
    <t>Cette macro couvre la gestion opérationnelle des projets techniques liés aux infrastructures réseaux (fixe, mobile, transmission), aux plateformes IT et aux services associés. Elle vise à assurer la livraison des projets dans le respect des délais, du budget, de la qualité attendue et des exigences fonctionnelles, tout en maîtrisant les risques.Elle inclut la structuration des projets (objectifs, livrables, acteurs, jalons), la planification détaillée, le suivi de l’exécution, le reporting multi-niveaux, la gestion des ressources (internes/externes), la coordination interdomaines (infrastructure, sécurité, exploitation, métier), ainsi que l’arbitrage en cas d’écarts. Elle s’appuie sur les référentiels de gestion de projet (PMI, Prince2, Agile, ITIL), tout en intégrant les spécificités techniques des environnements réseaux et IT.  
Elle est essentielle pour garantir l’alignement entre la feuille de route technique, les priorités stratégiques de l’entreprise, et les capacités d’exécution.Elle vise à assurer la livraison des projets dans le respect des délais, du budget et des objectifs de performance.</t>
  </si>
  <si>
    <t>M9_P1</t>
  </si>
  <si>
    <t xml:space="preserve"> Processus d’initialisation de projet </t>
  </si>
  <si>
    <t xml:space="preserve"> Cadrer les projets en définissant les objectifs, les parties prenantes, les exigences clés et les hypothèses de réalisation. </t>
  </si>
  <si>
    <t xml:space="preserve"> Recueillir les besoins métier et techniques </t>
  </si>
  <si>
    <t>Direction Network Engineering
IT Product &amp; Project Delivery  
Digital &amp; Innovation 
Toutes les directions (Gérant un projet)</t>
  </si>
  <si>
    <t xml:space="preserve"> Rédiger la fiche projet / note de cadrage </t>
  </si>
  <si>
    <t xml:space="preserve"> Identifier les risques initiaux et contraintes majeures </t>
  </si>
  <si>
    <t xml:space="preserve"> Définir les ressources prévisionnelles et jalons </t>
  </si>
  <si>
    <t>M9_P2</t>
  </si>
  <si>
    <t xml:space="preserve"> Processus de planification projet </t>
  </si>
  <si>
    <t xml:space="preserve"> Structurer les activités, les ressources, les délais et les coûts pour atteindre les objectifs définis. </t>
  </si>
  <si>
    <t xml:space="preserve"> Élaborer le WBS (Work Breakdown Structure) </t>
  </si>
  <si>
    <t xml:space="preserve"> Construire le planning (Gantt, jalons, chemins critiques) </t>
  </si>
  <si>
    <t xml:space="preserve"> Estimer les charges, coûts et besoins en compétences </t>
  </si>
  <si>
    <t xml:space="preserve"> Définir les indicateurs de performance (KPI) </t>
  </si>
  <si>
    <t>M9_P3</t>
  </si>
  <si>
    <t xml:space="preserve"> Processus d’exécution et de pilotage projet </t>
  </si>
  <si>
    <t xml:space="preserve"> Piloter la réalisation des livrables en assurant la coordination, le suivi, et la maîtrise des écarts. </t>
  </si>
  <si>
    <t xml:space="preserve"> Animer les réunions de pilotage et suivi d’avancement </t>
  </si>
  <si>
    <t xml:space="preserve">Direction Network Engineering
IT Product &amp; Project Delivery  
Digital &amp; Innovation 
Toutes les directions (Gérant un projet) </t>
  </si>
  <si>
    <t xml:space="preserve"> Mettre à jour le planning et gérer les écarts </t>
  </si>
  <si>
    <t xml:space="preserve"> Gérer les risques et actions correctives </t>
  </si>
  <si>
    <t xml:space="preserve"> Assurer la communication projet avec les parties prenantes </t>
  </si>
  <si>
    <t>M9_P4</t>
  </si>
  <si>
    <t xml:space="preserve"> Processus de gestion des changements </t>
  </si>
  <si>
    <t xml:space="preserve"> Intégrer les demandes d’évolution ou les adaptations nécessaires en garantissant la maîtrise des impacts. </t>
  </si>
  <si>
    <t xml:space="preserve"> Recueillir et formaliser les demandes de changement </t>
  </si>
  <si>
    <t xml:space="preserve"> Évaluer les impacts (coût, délai, charge) </t>
  </si>
  <si>
    <t xml:space="preserve"> Présenter les changements au comité de pilotage </t>
  </si>
  <si>
    <t xml:space="preserve"> Mettre à jour la documentation projet </t>
  </si>
  <si>
    <t>M9_P5</t>
  </si>
  <si>
    <t xml:space="preserve"> Processus de clôture de projet </t>
  </si>
  <si>
    <t xml:space="preserve"> Finaliser le projet en validant les livrables, capitalisant les retours d’expérience et libérant les ressources. </t>
  </si>
  <si>
    <t xml:space="preserve"> Valider la réception des livrables (techniques et documentaires) </t>
  </si>
  <si>
    <t xml:space="preserve"> Réaliser le bilan projet (coût, délai, qualité) </t>
  </si>
  <si>
    <t xml:space="preserve"> Capitaliser les enseignements (REX) </t>
  </si>
  <si>
    <t xml:space="preserve"> Clôturer les engagements contractuels et RH </t>
  </si>
  <si>
    <t>Sécurité &amp; Résilience des Systèmes d’Information Networks &amp; IS</t>
  </si>
  <si>
    <t>Cette macro regroupe toutes les activités nécessaires pour assurer la sécurité, la protection, la prévention et la résilience des infrastructures réseau (mobile, fixe, transmission) et IT (serveurs, plateformes, services). Elle vise à anticiper, détecter, répondre et se remettre des incidents ou attaques, tout en maintenant la continuité des services techniques et métier. Elle inclut la définition des politiques de sécurité, la gestion des risques, la surveillance des menaces, la réponse aux incidents de sécurité, la gestion des vulnérabilités, le chiffrement, l’authentification, la sécurité des accès, la résilience (plans de reprise, redondance) et le reporting. Elle s’appuie sur les processus Security &amp; Assurance d’eTOM, les pratiques ITIL Security Management, Information Security, Risk Management, ainsi que les cadres normatifs tels que ISO 27001, NIST, RGPD. L’objectif est de garantir que les infrastructures et services soient protégés, résilients, et conformes, tout en minimisant l’impact sur les opérations.</t>
  </si>
  <si>
    <t>M10_P1</t>
  </si>
  <si>
    <t xml:space="preserve"> Processus de définition des politiques de sécurité </t>
  </si>
  <si>
    <t xml:space="preserve"> Définir, maintenir et diffuser les politiques, standards et orientations de sécurité pour le parc technique et les services. </t>
  </si>
  <si>
    <t xml:space="preserve"> Élaborer les politiques en conformité avec ISO 27001 et exigences réglementaires </t>
  </si>
  <si>
    <t>Cybersécurité</t>
  </si>
  <si>
    <t xml:space="preserve"> Valider les politiques avec la gouvernance (comité sécurité) </t>
  </si>
  <si>
    <t xml:space="preserve"> Diffuser et sensibiliser les équipes à ces politiques </t>
  </si>
  <si>
    <t xml:space="preserve"> Mettre à jour périodiquement les politiques selon retours et audits </t>
  </si>
  <si>
    <t>M10_P2</t>
  </si>
  <si>
    <t xml:space="preserve"> Processus de gestion des risques &amp; évaluations de la sécurité </t>
  </si>
  <si>
    <t xml:space="preserve"> Identifier, évaluer et prioriser les risques de sécurité pesant sur les infrastructures et services. </t>
  </si>
  <si>
    <t xml:space="preserve"> Réaliser des analyses de risques (impact/probabilité) </t>
  </si>
  <si>
    <t xml:space="preserve"> Cartographier les scénarios de menace critiques </t>
  </si>
  <si>
    <t xml:space="preserve"> Définir les mesures de réduction de risque et contrôles </t>
  </si>
  <si>
    <t xml:space="preserve"> Suivre la mise en œuvre des mesures et leur efficacité </t>
  </si>
  <si>
    <t>M10_P3</t>
  </si>
  <si>
    <t xml:space="preserve"> Processus de gestion des vulnérabilités </t>
  </si>
  <si>
    <t xml:space="preserve"> Identifier, qualifier et traiter les vulnérabilités au sein des infrastructures, systèmes et applications. </t>
  </si>
  <si>
    <t xml:space="preserve"> Réaliser des scans de vulnérabilité réguliers </t>
  </si>
  <si>
    <t xml:space="preserve"> Prioriser les vulnérabilités en fonction de leur criticité </t>
  </si>
  <si>
    <t xml:space="preserve"> Déployer les correctifs ou mesures compensatoires </t>
  </si>
  <si>
    <t xml:space="preserve"> Vérifier l’efficacité des traitements via tests de ré-audit </t>
  </si>
  <si>
    <t>M10_P4</t>
  </si>
  <si>
    <t xml:space="preserve"> Processus de surveillance et détection d’intrusions </t>
  </si>
  <si>
    <t xml:space="preserve"> Surveiller les infrastructures pour détecter les attaques, intrusions ou comportements anormaux. </t>
  </si>
  <si>
    <t xml:space="preserve"> Mettre en place des outils IDS/IPS, SIEM </t>
  </si>
  <si>
    <t xml:space="preserve"> Collecter et corréler les logs de sécurité </t>
  </si>
  <si>
    <t xml:space="preserve"> Détecter les incidents potentiels et anomalies </t>
  </si>
  <si>
    <t xml:space="preserve"> Escalader et déclencher les réponses selon niveau de menace </t>
  </si>
  <si>
    <t>M10_P5</t>
  </si>
  <si>
    <t xml:space="preserve"> Processus de réponse aux incidents de sécurité </t>
  </si>
  <si>
    <t xml:space="preserve"> Traiter les incidents de sécurité (détection, confinement, résolution, restauration) afin de limiter l’impact. </t>
  </si>
  <si>
    <t xml:space="preserve"> Activer le plan de réponse à incident (IRP) </t>
  </si>
  <si>
    <t xml:space="preserve"> Contenir l’attaque ou la faille </t>
  </si>
  <si>
    <t xml:space="preserve"> Identifier l’origine et l’étendue de l’incident </t>
  </si>
  <si>
    <t xml:space="preserve"> Restaurer les services affectés </t>
  </si>
  <si>
    <t xml:space="preserve"> Documenter l’incident et proposer des leçons (RCA) </t>
  </si>
  <si>
    <t>M10_P6</t>
  </si>
  <si>
    <t xml:space="preserve"> Processus de résilience et reprise après sinistre </t>
  </si>
  <si>
    <t xml:space="preserve"> Mettre en place les mesures de continuité, redondance et plans de reprise pour garantir la résilience des services. </t>
  </si>
  <si>
    <t xml:space="preserve"> Définir les plans de reprise (DRP) et continuité (BCP) </t>
  </si>
  <si>
    <t xml:space="preserve"> Tester périodiquement les plans (exercices, simulations) </t>
  </si>
  <si>
    <t xml:space="preserve"> Mettre en place la redondance (sites, liaisons) </t>
  </si>
  <si>
    <t xml:space="preserve"> Assurer le basculement et rétablissement des services </t>
  </si>
  <si>
    <t>M10_P7</t>
  </si>
  <si>
    <t xml:space="preserve"> Processus de reporting et conformité sécurité </t>
  </si>
  <si>
    <t xml:space="preserve"> Suivre les indicateurs de sécurité, produire les rapports et vérifier la conformité aux normes. </t>
  </si>
  <si>
    <t xml:space="preserve"> Définir les KPI sécurité (nombre d’incidents, temps de réponse, gravité) </t>
  </si>
  <si>
    <t xml:space="preserve"> Collecter les métriques et incidents sécurité </t>
  </si>
  <si>
    <t xml:space="preserve"> Produire les rapports périodiques à la gouvernance </t>
  </si>
  <si>
    <t xml:space="preserve"> Réaliser les audits internes et externes de conformité </t>
  </si>
  <si>
    <t>Support &amp; Assistance IT Network &amp; IS</t>
  </si>
  <si>
    <t>Cette macro couvre l’ensemble des activités liées à la gestion des demandes, des incidents et de l’assistance utilisateurs pour les services IT et infrastructures réseau. Elle vise à garantir la continuité de service, la satisfaction des utilisateurs (internes ou externes) et la résolution efficace des problèmes opérationnels rencontrés sur les systèmes, réseaux ou applications. Elle inclut les fonctions de support de niveau 1 à 3, le service desk, le traitement des tickets ITSM, la gestion des incidents, demandes, accès, problèmes et escalades, en conformité avec les référentiels ITIL v4 (Service Desk, Incident Management, Request Fulfillment, Problem Management) et eTOM (Assurance). Elle s’appuie sur des outils de supervision, de ticketing, de CMDB et sur des processus d'amélioration continue (KEDB, RCA, knowledge base).</t>
  </si>
  <si>
    <t>M11_P1</t>
  </si>
  <si>
    <t xml:space="preserve"> Processus de réception et qualification des demandes </t>
  </si>
  <si>
    <t xml:space="preserve"> Recevoir, enregistrer, qualifier et catégoriser les requêtes utilisateurs (incidents, demandes, accès). </t>
  </si>
  <si>
    <t xml:space="preserve"> Gérer les appels, mails, portails utilisateurs </t>
  </si>
  <si>
    <t xml:space="preserve">IT  Support &amp; Service Desk </t>
  </si>
  <si>
    <t xml:space="preserve"> Enregistrer les tickets dans l’outil ITSM </t>
  </si>
  <si>
    <t xml:space="preserve"> Identifier la nature (incident, demande, accès) </t>
  </si>
  <si>
    <t xml:space="preserve"> Catégoriser et prioriser selon l’impact/urgence </t>
  </si>
  <si>
    <t>M11_P2</t>
  </si>
  <si>
    <t xml:space="preserve"> Processus de traitement des incidents (support N1/N2/N3) </t>
  </si>
  <si>
    <t xml:space="preserve"> Diagnostiquer, résoudre ou escalader les incidents afin de rétablir le service au plus vite. </t>
  </si>
  <si>
    <t xml:space="preserve"> Appliquer les procédures de résolution standard (KEDB) </t>
  </si>
  <si>
    <t xml:space="preserve"> Escalader au niveau supérieur si besoin </t>
  </si>
  <si>
    <t xml:space="preserve"> Suivre les incidents jusqu’à leur clôture </t>
  </si>
  <si>
    <t xml:space="preserve"> Documenter la résolution dans la base de connaissance </t>
  </si>
  <si>
    <t>M11_P3</t>
  </si>
  <si>
    <t xml:space="preserve"> Processus de traitement des demandes de service </t>
  </si>
  <si>
    <t xml:space="preserve"> Gérer les demandes récurrentes (accès, logiciel, matériel, changement mineur). </t>
  </si>
  <si>
    <t xml:space="preserve"> Valider la conformité et l’éligibilité de la demande </t>
  </si>
  <si>
    <t xml:space="preserve"> Effectuer les actions de provisioning ou configuration </t>
  </si>
  <si>
    <t xml:space="preserve"> Informer l’utilisateur et clôturer la demande </t>
  </si>
  <si>
    <t xml:space="preserve"> Mettre à jour la CMDB si nécessaire </t>
  </si>
  <si>
    <t>M11_P4</t>
  </si>
  <si>
    <t xml:space="preserve"> Processus de gestion des accès IT </t>
  </si>
  <si>
    <t xml:space="preserve"> Créer, modifier ou révoquer les droits d’accès aux applications et ressources IT. </t>
  </si>
  <si>
    <t xml:space="preserve"> Valider les demandes via le référent hiérarchique </t>
  </si>
  <si>
    <t xml:space="preserve"> Appliquer les règles de séparation des droits </t>
  </si>
  <si>
    <t xml:space="preserve"> Provisionner ou supprimer les accès </t>
  </si>
  <si>
    <t xml:space="preserve"> Auditer régulièrement les droits attribués </t>
  </si>
  <si>
    <t>M11_P5</t>
  </si>
  <si>
    <t xml:space="preserve"> Processus de gestion des escalades critiques </t>
  </si>
  <si>
    <t xml:space="preserve"> Gérer les incidents ou demandes à fort impact nécessitant un traitement prioritaire ou transversal. </t>
  </si>
  <si>
    <t xml:space="preserve"> Identifier les incidents critiques (P1, VIP) </t>
  </si>
  <si>
    <t xml:space="preserve"> Alerter les entités techniques et la gouvernance </t>
  </si>
  <si>
    <t xml:space="preserve"> Coordonner les actions correctrices rapidement </t>
  </si>
  <si>
    <t xml:space="preserve"> Informer régulièrement les parties prenantes </t>
  </si>
  <si>
    <t>M11_P6</t>
  </si>
  <si>
    <t xml:space="preserve"> Processus de communication et retour utilisateur </t>
  </si>
  <si>
    <t xml:space="preserve"> Assurer la communication claire avec les utilisateurs tout au long du cycle de support. </t>
  </si>
  <si>
    <t xml:space="preserve"> Envoyer les accusés de réception automatisés </t>
  </si>
  <si>
    <t xml:space="preserve"> Informer sur l’évolution et la résolution </t>
  </si>
  <si>
    <t xml:space="preserve"> Mesurer la satisfaction utilisateur (CSAT) </t>
  </si>
  <si>
    <t xml:space="preserve"> Analyser les retours pour amélioration continue </t>
  </si>
  <si>
    <t>Digitalisation Networks &amp; IS</t>
  </si>
  <si>
    <t>Cette macro couvre l’ensemble des activités visant à automatiser, digitaliser et moderniser les processus, outils et services liés aux réseaux et systèmes d’information. Elle inclut la conception et le déploiement de solutions de digitalisation, l’automatisation des workflows techniques (provisioning, configuration, supervision), l’intégration d’outils DevOps/NetOps, et la mise en œuvre de portails utilisateurs, self-service, et orchestrateurs. Elle s’aligne sur les bonnes pratiques eTOM (Fulfillment, Assurance, OSS Integration) et ITIL (Change Enablement, Continual Improvement). Son objectif est d’améliorer la rapidité d’exécution, la qualité des services, la réduction des tâches manuelles, et de renforcer l’agilité opérationnelle des équipes techniques.</t>
  </si>
  <si>
    <t>M12_P1</t>
  </si>
  <si>
    <t xml:space="preserve"> Processus de dématérialisation des processus techniques </t>
  </si>
  <si>
    <t xml:space="preserve"> Identifier, analyser et digitaliser les processus manuels des équipes réseaux et IT. </t>
  </si>
  <si>
    <t xml:space="preserve"> Recenser les processus manuels ou semi-automatisés </t>
  </si>
  <si>
    <t xml:space="preserve">Digital &amp; Innovation </t>
  </si>
  <si>
    <t xml:space="preserve"> Identifier les points de friction ou gains potentiels </t>
  </si>
  <si>
    <t xml:space="preserve"> Concevoir des workflows digitalisés </t>
  </si>
  <si>
    <t xml:space="preserve"> Mettre en œuvre les outils de digitalisation </t>
  </si>
  <si>
    <t>M12_P2</t>
  </si>
  <si>
    <t xml:space="preserve"> Processus d’automatisation des opérations techniques </t>
  </si>
  <si>
    <t xml:space="preserve"> Automatiser les tâches techniques répétitives ou critiques (provisioning, patching, configuration). </t>
  </si>
  <si>
    <t xml:space="preserve"> Identifier les tâches récurrentes à fort volume </t>
  </si>
  <si>
    <t xml:space="preserve"> Développer les scripts ou playbooks d'automatisation </t>
  </si>
  <si>
    <t xml:space="preserve"> Intégrer les outils dans les chaînes CI/CD ou OSS </t>
  </si>
  <si>
    <t xml:space="preserve"> Tester et déployer en production contrôlée </t>
  </si>
  <si>
    <t>M12_P3</t>
  </si>
  <si>
    <t xml:space="preserve"> Processus d’intégration des outils de pilotage &amp; orchestration </t>
  </si>
  <si>
    <t xml:space="preserve"> Mettre en œuvre des plateformes d’orchestration et de pilotage unifié des ressources réseau &amp; IT. </t>
  </si>
  <si>
    <t xml:space="preserve"> Évaluer les besoins d’orchestration (multi-domaines) </t>
  </si>
  <si>
    <t xml:space="preserve"> Sélectionner et paramétrer les orchestrateurs </t>
  </si>
  <si>
    <t xml:space="preserve"> Intégrer les outils aux SI existants (OSS/BSS) </t>
  </si>
  <si>
    <t xml:space="preserve"> Monitorer l’exécution des processus automatisés </t>
  </si>
  <si>
    <t>M12_P4</t>
  </si>
  <si>
    <t xml:space="preserve"> Processus de développement de portails et services digitaux </t>
  </si>
  <si>
    <t xml:space="preserve"> Concevoir des portails web ou mobiles pour faciliter l’accès aux services IT/Network. </t>
  </si>
  <si>
    <t xml:space="preserve"> Recueillir les besoins utilisateurs (internes ou externes) </t>
  </si>
  <si>
    <t xml:space="preserve"> Développer les interfaces front-end et back-end </t>
  </si>
  <si>
    <t xml:space="preserve"> Tester l’ergonomie, la sécurité et la performance </t>
  </si>
  <si>
    <t xml:space="preserve"> Déployer et maintenir les portails en condition opérationnelle </t>
  </si>
  <si>
    <t>M12_P5</t>
  </si>
  <si>
    <t xml:space="preserve"> Processus de gestion de l’amélioration continue digitale </t>
  </si>
  <si>
    <t xml:space="preserve"> Piloter les indicateurs, feedbacks et initiatives pour améliorer l'efficacité des solutions déployées. </t>
  </si>
  <si>
    <t xml:space="preserve"> Définir les KPIs de performance digitale </t>
  </si>
  <si>
    <t xml:space="preserve"> Collecter les retours utilisateurs </t>
  </si>
  <si>
    <t xml:space="preserve"> Identifier les évolutions à apporter </t>
  </si>
  <si>
    <t xml:space="preserve"> Mettre à jour les outils et processus de façon itérative </t>
  </si>
  <si>
    <t xml:space="preserve"> Big Data &amp; Data Gouvernance (Network &amp; IS)</t>
  </si>
  <si>
    <t>Cette macro regroupe l’ensemble des activités liées à la gestion des données &amp; métadonnées dans l’écosystème technique et SI, depuis leur collecte jusqu’à leur valorisation métier. Elle s’inscrit dans les pratiques de Data Lifecycle Management en cohérence avec les référentiels eTOM (notamment AIM - Application, Information and Data Management) et ITIL (Service Operation, Continual Service Improvement).  
Elle couvre la collecte  et la consolidation des données issues des réseaux (fixes, mobiles), des systèmes IT, et des plateformes de service, via des pipelines d’ingestion adaptés. Elle intègre le stockage structuré et non structuré, la gestion rigoureuse des  données &amp; métadonnées, la gouvernance des accès, ainsi que la surveillance de la performance des environnements Big Data. La macro inclut également les usages analytiques des données pour optimiser les performances, anticiper les incidents, améliorer les services ou appuyer les décisions stratégiques. Enfin, elle encadre l’innovation basée sur la donnée et la conduite de projets Big Data, garantissant alignement métier et efficacité technologique.</t>
  </si>
  <si>
    <t>M13_P1</t>
  </si>
  <si>
    <t xml:space="preserve"> Processus de collecte, ingestion et intégration des données </t>
  </si>
  <si>
    <t xml:space="preserve">Assurer la collecte, l'ingestion et l’intégration continue et fiable des données issues de différentes sources internes et externes au datalake et au datawarehouse de l’entreprise.
</t>
  </si>
  <si>
    <t xml:space="preserve"> Identifier les sources de données (réseaux, IT, services) </t>
  </si>
  <si>
    <t>Big Data &amp; Data Gouvernance</t>
  </si>
  <si>
    <t xml:space="preserve"> Mettre en œuvre les mécanismes d'igestion (connecteurs, API, agents) </t>
  </si>
  <si>
    <t xml:space="preserve"> Nettoyer, formater et normaliser les flux de données </t>
  </si>
  <si>
    <t xml:space="preserve"> Charger les données dans les environnements de traitement (data lake, entrepôts) </t>
  </si>
  <si>
    <t>M13_P2</t>
  </si>
  <si>
    <t xml:space="preserve"> Processus de stockage et gestion des données &amp; métadonnées </t>
  </si>
  <si>
    <t>Ce Process concerne le stockage, l’organisation, la gouvernance, la sécurisation et la mise à disposition des données. Il garantit que les données soient accessibles, fiables et conformes aux exigences métier et réglementaires.</t>
  </si>
  <si>
    <t xml:space="preserve"> Organiser les espaces de stockage adaptés (fichiers, bases, entrepôts) </t>
  </si>
  <si>
    <t xml:space="preserve"> Mettre en œuvre les règles de rétention, archivage et purge </t>
  </si>
  <si>
    <t xml:space="preserve"> Maintenir les catalogues de données et les dictionnaires de métadonnées </t>
  </si>
  <si>
    <t xml:space="preserve"> Appliquer les droits d’accès et politiques de confidentialité </t>
  </si>
  <si>
    <t xml:space="preserve">La mise à disposition et l’exploitation des données </t>
  </si>
  <si>
    <t>M13_P3</t>
  </si>
  <si>
    <t xml:space="preserve"> Processus d’exploitation et valorisation des données </t>
  </si>
  <si>
    <t>Le macro-processus regroupe l’ensemble des activités permettant de transformer les données en informations exploitables pour la prise de décision, l’optimisation des opérations et l’innovation via l’analytique avancée, la Business Intelligence (BI), le Machine Learning (ML) et l’Intelligence Artificielle (IA).
Il vise à extraire du sens des données, automatiser les analyses et fournir des insights stratégiques aux métiers</t>
  </si>
  <si>
    <t xml:space="preserve"> Concevoir des tableaux de bord opérationnels et décisionnels </t>
  </si>
  <si>
    <t xml:space="preserve"> Réaliser des analyses croisées (trafic, incidents, QoS, usages) </t>
  </si>
  <si>
    <t xml:space="preserve"> Développer des modèles statistiques ou prédictifs (BI, IA,ML)</t>
  </si>
  <si>
    <t>Automatiser  les ajustements des algorithmes, et workflows analytiques</t>
  </si>
  <si>
    <t xml:space="preserve">Concevoir des modèles expérimentaux pour tester différentes hypothèses et stratégies sur les clients (ex. changements dans les tarifs ou dans les services proposés).
</t>
  </si>
  <si>
    <t xml:space="preserve"> Publier des rapports périodiques ou à la demande </t>
  </si>
  <si>
    <t>M13_P4</t>
  </si>
  <si>
    <t xml:space="preserve"> Processus de surveillance et optimisation des performances Big Data /DWH</t>
  </si>
  <si>
    <t xml:space="preserve">Le macro-processus "Surveillance et Optimisation des Performances de la plateforme Big Data/DWH" regroupe l’ensemble des activités permettant de superviser, analyser et optimiser la performance des infrastructures et des traitements de données.
Il vise à garantir la disponibilité, la scalabilité et l'efficacité du système Big Data / DWH en s’appuyant sur le monitoring en temps réel, l’optimisation des ressources et la gestion proactive des incidents.
</t>
  </si>
  <si>
    <t xml:space="preserve">Superviser l’écosystème Big Data / DWH </t>
  </si>
  <si>
    <t xml:space="preserve"> Identifier les anomalies ou points de saturation </t>
  </si>
  <si>
    <t xml:space="preserve">Gérer les ressources et scalabilté  </t>
  </si>
  <si>
    <t xml:space="preserve"> Documenter et tracer les optimisations mises en œuvre </t>
  </si>
  <si>
    <t xml:space="preserve"> Capitaliser sur les innovations réussies pour les industrialiser</t>
  </si>
  <si>
    <t xml:space="preserve">Automatisation et gestion pro-active des incidents (Détection automatique des pannes, actions correctives, processus de gestion des incidents).
</t>
  </si>
  <si>
    <t xml:space="preserve">Monter en compétence des équipes </t>
  </si>
  <si>
    <t>M13_P5</t>
  </si>
  <si>
    <t xml:space="preserve"> Processus de gestion des projets Big Data (SI) </t>
  </si>
  <si>
    <t xml:space="preserve"> Ce processus concerne la gestion des projets liés à l’exploitation du Big Data, de la conception à la mise en production dans le respect des exigences métiers. </t>
  </si>
  <si>
    <t>Identifier les projets stratégiques où l’utilisation du Big Data peut générer de la valeur ajoutée (ex. optimisation du réseau, analyse comportementale des clients, détection de fraudes).</t>
  </si>
  <si>
    <t xml:space="preserve">Sélectionner et déployer les technologies Big Data (Hadoop, Spark, NoSQL, etc.) pour stocker et traiter de grandes quantités de données. 
</t>
  </si>
  <si>
    <t>Piloter les projets Big Data</t>
  </si>
  <si>
    <t>M13_P6</t>
  </si>
  <si>
    <t xml:space="preserve"> Processus d’innovation et transformation numérique </t>
  </si>
  <si>
    <t xml:space="preserve"> Ce processus s'inscrit dans la vision stratégique à long terme de l’opérateur télécom pour intégrer de nouvelles technologies et transformer les modèles d'affaires grâce à la donnée.</t>
  </si>
  <si>
    <t xml:space="preserve">Assurer la veille technologique et innovation </t>
  </si>
  <si>
    <t>Mettre en œuvre de projets pour transformer les processus internes et améliorer les interactions avec les clients en utilisant les données (ex. chatbots, recommandations personnalisées).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</si>
</sst>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14"/>
      <color theme="1"/>
      <name val="Aptos Narrow"/>
      <family val="2"/>
      <scheme val="minor"/>
    </font>
    <font>
      <sz val="12"/>
      <color theme="1"/>
      <name val="Aptos Narrow"/>
      <family val="2"/>
      <scheme val="minor"/>
    </font>
    <font>
      <sz val="12"/>
      <color rgb="FFFF0000"/>
      <name val="Aptos Narrow"/>
      <family val="2"/>
      <scheme val="minor"/>
    </font>
    <font>
      <sz val="12"/>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FFC000"/>
        <bgColor indexed="64"/>
      </patternFill>
    </fill>
    <fill>
      <patternFill patternType="solid">
        <fgColor rgb="FF92D05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s>
  <cellStyleXfs count="1">
    <xf numFmtId="0" fontId="0" fillId="0" borderId="0"/>
  </cellStyleXfs>
  <cellXfs count="240">
    <xf numFmtId="0" fontId="0" fillId="0" borderId="0" xfId="0"/>
    <xf numFmtId="0" fontId="1" fillId="2" borderId="0" xfId="0" applyFont="1" applyFill="1" applyAlignment="1">
      <alignment wrapText="1"/>
    </xf>
    <xf numFmtId="0" fontId="0" fillId="0" borderId="0" xfId="0" applyAlignment="1">
      <alignment wrapText="1"/>
    </xf>
    <xf numFmtId="0" fontId="1" fillId="3" borderId="1" xfId="0" applyFont="1" applyFill="1" applyBorder="1" applyAlignment="1">
      <alignment wrapText="1"/>
    </xf>
    <xf numFmtId="0" fontId="1" fillId="3" borderId="2" xfId="0" applyFont="1" applyFill="1" applyBorder="1" applyAlignment="1">
      <alignment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4" borderId="1" xfId="0" applyFill="1" applyBorder="1" applyAlignment="1">
      <alignment horizontal="left" vertical="center" wrapText="1"/>
    </xf>
    <xf numFmtId="0" fontId="0" fillId="0" borderId="7" xfId="0" applyBorder="1" applyAlignment="1">
      <alignment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 xfId="0" applyBorder="1" applyAlignment="1">
      <alignment wrapText="1"/>
    </xf>
    <xf numFmtId="0" fontId="0" fillId="0" borderId="12" xfId="0" applyBorder="1" applyAlignment="1">
      <alignment horizontal="left" vertical="center" wrapText="1"/>
    </xf>
    <xf numFmtId="0" fontId="0" fillId="0" borderId="2" xfId="0" applyBorder="1" applyAlignment="1">
      <alignment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0" fillId="5" borderId="6" xfId="0" applyFill="1" applyBorder="1" applyAlignment="1">
      <alignment horizontal="left" vertical="center" wrapText="1"/>
    </xf>
    <xf numFmtId="0" fontId="0" fillId="5" borderId="1" xfId="0" applyFill="1" applyBorder="1" applyAlignment="1">
      <alignment horizontal="left" vertical="center" wrapText="1"/>
    </xf>
    <xf numFmtId="0" fontId="0" fillId="5" borderId="7" xfId="0" applyFill="1" applyBorder="1" applyAlignment="1">
      <alignment wrapText="1"/>
    </xf>
    <xf numFmtId="0" fontId="0" fillId="5" borderId="8" xfId="0" applyFill="1" applyBorder="1" applyAlignment="1">
      <alignment horizontal="left" vertical="center" wrapText="1"/>
    </xf>
    <xf numFmtId="0" fontId="0" fillId="5" borderId="9" xfId="0" applyFill="1" applyBorder="1" applyAlignment="1">
      <alignment horizontal="left" vertical="center" wrapText="1"/>
    </xf>
    <xf numFmtId="0" fontId="0" fillId="5" borderId="10" xfId="0" applyFill="1" applyBorder="1" applyAlignment="1">
      <alignment horizontal="left" vertical="center" wrapText="1"/>
    </xf>
    <xf numFmtId="0" fontId="0" fillId="5" borderId="11" xfId="0" applyFill="1" applyBorder="1" applyAlignment="1">
      <alignment horizontal="left" vertical="center" wrapText="1"/>
    </xf>
    <xf numFmtId="0" fontId="0" fillId="5" borderId="1" xfId="0" applyFill="1" applyBorder="1" applyAlignment="1">
      <alignment wrapText="1"/>
    </xf>
    <xf numFmtId="0" fontId="0" fillId="5" borderId="12" xfId="0" applyFill="1" applyBorder="1" applyAlignment="1">
      <alignment horizontal="left" vertical="center" wrapText="1"/>
    </xf>
    <xf numFmtId="0" fontId="0" fillId="5" borderId="2" xfId="0" applyFill="1" applyBorder="1" applyAlignment="1">
      <alignment horizontal="left" vertical="center" wrapText="1"/>
    </xf>
    <xf numFmtId="0" fontId="0" fillId="5" borderId="2" xfId="0" applyFill="1" applyBorder="1" applyAlignment="1">
      <alignment wrapText="1"/>
    </xf>
    <xf numFmtId="0" fontId="0" fillId="0" borderId="5" xfId="0" applyBorder="1" applyAlignment="1">
      <alignment vertical="center" wrapText="1"/>
    </xf>
    <xf numFmtId="0" fontId="0" fillId="0" borderId="6" xfId="0" applyBorder="1" applyAlignment="1">
      <alignment vertical="center" wrapText="1"/>
    </xf>
    <xf numFmtId="0" fontId="0" fillId="0" borderId="8" xfId="0" applyBorder="1" applyAlignment="1">
      <alignment horizontal="left"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horizontal="left" wrapText="1"/>
    </xf>
    <xf numFmtId="0" fontId="0" fillId="5" borderId="5" xfId="0" applyFill="1" applyBorder="1" applyAlignment="1">
      <alignment vertical="center" wrapText="1"/>
    </xf>
    <xf numFmtId="0" fontId="0" fillId="5" borderId="6" xfId="0" applyFill="1" applyBorder="1" applyAlignment="1">
      <alignment vertical="center" wrapText="1"/>
    </xf>
    <xf numFmtId="0" fontId="0" fillId="5" borderId="8" xfId="0" applyFill="1" applyBorder="1" applyAlignment="1">
      <alignment horizontal="left" wrapText="1"/>
    </xf>
    <xf numFmtId="0" fontId="0" fillId="5" borderId="10" xfId="0" applyFill="1" applyBorder="1" applyAlignment="1">
      <alignment vertical="center" wrapText="1"/>
    </xf>
    <xf numFmtId="0" fontId="0" fillId="5" borderId="11" xfId="0" applyFill="1" applyBorder="1" applyAlignment="1">
      <alignment vertical="center" wrapText="1"/>
    </xf>
    <xf numFmtId="0" fontId="0" fillId="5" borderId="12" xfId="0" applyFill="1" applyBorder="1" applyAlignment="1">
      <alignment horizontal="left" wrapText="1"/>
    </xf>
    <xf numFmtId="0" fontId="0" fillId="0" borderId="13" xfId="0" applyBorder="1" applyAlignment="1">
      <alignment wrapText="1"/>
    </xf>
    <xf numFmtId="0" fontId="0" fillId="0" borderId="14" xfId="0" applyBorder="1" applyAlignment="1">
      <alignment horizontal="left" vertical="center" wrapText="1"/>
    </xf>
    <xf numFmtId="0" fontId="0" fillId="0" borderId="15" xfId="0" applyBorder="1" applyAlignment="1">
      <alignment wrapText="1"/>
    </xf>
    <xf numFmtId="0" fontId="0" fillId="0" borderId="16" xfId="0" applyBorder="1" applyAlignment="1">
      <alignment horizontal="left" vertical="center" wrapText="1"/>
    </xf>
    <xf numFmtId="0" fontId="0" fillId="0" borderId="17" xfId="0" applyBorder="1" applyAlignment="1">
      <alignment wrapText="1"/>
    </xf>
    <xf numFmtId="0" fontId="0" fillId="5" borderId="18" xfId="0" applyFill="1" applyBorder="1" applyAlignment="1">
      <alignment vertical="center" wrapText="1"/>
    </xf>
    <xf numFmtId="0" fontId="0" fillId="5" borderId="19" xfId="0" applyFill="1" applyBorder="1" applyAlignment="1">
      <alignment wrapText="1"/>
    </xf>
    <xf numFmtId="0" fontId="0" fillId="5" borderId="20" xfId="0" applyFill="1" applyBorder="1" applyAlignment="1">
      <alignment vertical="center" wrapText="1"/>
    </xf>
    <xf numFmtId="0" fontId="0" fillId="5" borderId="21" xfId="0" applyFill="1" applyBorder="1" applyAlignment="1">
      <alignment wrapText="1"/>
    </xf>
    <xf numFmtId="0" fontId="0" fillId="0" borderId="22" xfId="0" applyBorder="1" applyAlignment="1">
      <alignment horizontal="left" vertical="center" wrapText="1"/>
    </xf>
    <xf numFmtId="0" fontId="0" fillId="5" borderId="23" xfId="0" applyFill="1" applyBorder="1" applyAlignment="1">
      <alignment vertical="center" wrapText="1"/>
    </xf>
    <xf numFmtId="0" fontId="0" fillId="5" borderId="24" xfId="0" applyFill="1" applyBorder="1" applyAlignment="1">
      <alignment vertical="center" wrapText="1"/>
    </xf>
    <xf numFmtId="0" fontId="0" fillId="5" borderId="25" xfId="0" applyFill="1" applyBorder="1" applyAlignment="1">
      <alignment wrapText="1"/>
    </xf>
    <xf numFmtId="0" fontId="0" fillId="5" borderId="26" xfId="0" applyFill="1" applyBorder="1" applyAlignment="1">
      <alignment horizontal="left" vertical="center" wrapText="1"/>
    </xf>
    <xf numFmtId="0" fontId="0" fillId="0" borderId="1" xfId="0" applyBorder="1" applyAlignment="1">
      <alignment horizontal="left" vertical="center" wrapText="1"/>
    </xf>
    <xf numFmtId="0" fontId="0" fillId="0" borderId="27" xfId="0" applyBorder="1" applyAlignment="1">
      <alignment wrapText="1"/>
    </xf>
    <xf numFmtId="0" fontId="0" fillId="0" borderId="3" xfId="0" applyBorder="1" applyAlignment="1">
      <alignment wrapText="1"/>
    </xf>
    <xf numFmtId="0" fontId="0" fillId="0" borderId="28" xfId="0" applyBorder="1" applyAlignment="1">
      <alignment wrapText="1"/>
    </xf>
    <xf numFmtId="0" fontId="0" fillId="5" borderId="22" xfId="0" applyFill="1" applyBorder="1" applyAlignment="1">
      <alignment horizontal="left" vertical="center" wrapText="1"/>
    </xf>
    <xf numFmtId="0" fontId="0" fillId="5" borderId="29" xfId="0" applyFill="1" applyBorder="1" applyAlignment="1">
      <alignment vertical="center" wrapText="1"/>
    </xf>
    <xf numFmtId="0" fontId="0" fillId="5" borderId="30" xfId="0" applyFill="1" applyBorder="1" applyAlignment="1">
      <alignment wrapText="1"/>
    </xf>
    <xf numFmtId="0" fontId="0" fillId="4" borderId="7" xfId="0" applyFill="1" applyBorder="1"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vertical="center" wrapText="1"/>
    </xf>
    <xf numFmtId="0" fontId="0" fillId="0" borderId="29" xfId="0" applyBorder="1" applyAlignment="1">
      <alignment vertical="center" wrapText="1"/>
    </xf>
    <xf numFmtId="0" fontId="0" fillId="0" borderId="30" xfId="0" applyBorder="1" applyAlignment="1">
      <alignment horizontal="left" vertical="center" wrapText="1"/>
    </xf>
    <xf numFmtId="0" fontId="0" fillId="0" borderId="30" xfId="0" applyBorder="1" applyAlignment="1">
      <alignment wrapText="1"/>
    </xf>
    <xf numFmtId="0" fontId="0" fillId="0" borderId="26" xfId="0" applyBorder="1" applyAlignment="1">
      <alignment horizontal="left" vertical="center" wrapText="1"/>
    </xf>
    <xf numFmtId="0" fontId="0" fillId="5" borderId="31" xfId="0" applyFill="1" applyBorder="1" applyAlignment="1">
      <alignment wrapText="1"/>
    </xf>
    <xf numFmtId="0" fontId="0" fillId="6" borderId="0" xfId="0" applyFill="1" applyAlignment="1">
      <alignment wrapText="1"/>
    </xf>
    <xf numFmtId="0" fontId="0" fillId="2" borderId="0" xfId="0" applyFill="1" applyAlignment="1">
      <alignment wrapText="1"/>
    </xf>
    <xf numFmtId="0" fontId="1" fillId="0" borderId="0" xfId="0" applyFont="1" applyAlignment="1">
      <alignment wrapText="1"/>
    </xf>
    <xf numFmtId="0" fontId="1" fillId="3" borderId="32" xfId="0" applyFont="1" applyFill="1" applyBorder="1" applyAlignment="1">
      <alignment wrapText="1"/>
    </xf>
    <xf numFmtId="0" fontId="1" fillId="3" borderId="33" xfId="0" applyFont="1" applyFill="1" applyBorder="1" applyAlignment="1">
      <alignment wrapText="1"/>
    </xf>
    <xf numFmtId="0" fontId="1" fillId="3" borderId="6" xfId="0" applyFont="1" applyFill="1" applyBorder="1" applyAlignment="1">
      <alignment wrapText="1"/>
    </xf>
    <xf numFmtId="0" fontId="1" fillId="3" borderId="34" xfId="0" applyFont="1" applyFill="1" applyBorder="1" applyAlignment="1">
      <alignment wrapText="1"/>
    </xf>
    <xf numFmtId="0" fontId="0" fillId="5" borderId="35" xfId="0" applyFill="1" applyBorder="1" applyAlignment="1">
      <alignment horizontal="left" vertical="center" wrapText="1"/>
    </xf>
    <xf numFmtId="0" fontId="0" fillId="5" borderId="36" xfId="0" applyFill="1" applyBorder="1" applyAlignment="1">
      <alignment horizontal="left" vertical="center" wrapText="1"/>
    </xf>
    <xf numFmtId="0" fontId="0" fillId="5" borderId="15" xfId="0" applyFill="1" applyBorder="1" applyAlignment="1">
      <alignment horizontal="left" vertical="center" wrapText="1"/>
    </xf>
    <xf numFmtId="0" fontId="0" fillId="5" borderId="17" xfId="0" applyFill="1" applyBorder="1" applyAlignment="1">
      <alignment horizontal="left" vertical="center" wrapText="1"/>
    </xf>
    <xf numFmtId="0" fontId="0" fillId="0" borderId="13" xfId="0" applyBorder="1" applyAlignment="1">
      <alignment horizontal="left" vertical="center" wrapText="1"/>
    </xf>
    <xf numFmtId="0" fontId="0" fillId="0" borderId="15" xfId="0" applyBorder="1" applyAlignment="1">
      <alignment horizontal="left" vertical="center" wrapText="1"/>
    </xf>
    <xf numFmtId="0" fontId="0" fillId="0" borderId="23" xfId="0" applyBorder="1" applyAlignment="1">
      <alignment horizontal="left" vertical="center" wrapText="1"/>
    </xf>
    <xf numFmtId="0" fontId="0" fillId="0" borderId="29" xfId="0" applyBorder="1" applyAlignment="1">
      <alignment horizontal="left" vertical="center" wrapText="1"/>
    </xf>
    <xf numFmtId="0" fontId="0" fillId="4" borderId="30" xfId="0" applyFill="1" applyBorder="1" applyAlignment="1">
      <alignment horizontal="left" vertical="center" wrapText="1"/>
    </xf>
    <xf numFmtId="0" fontId="0" fillId="0" borderId="37" xfId="0" applyBorder="1" applyAlignment="1">
      <alignment horizontal="left" vertical="center" wrapText="1"/>
    </xf>
    <xf numFmtId="0" fontId="0" fillId="5" borderId="20" xfId="0" applyFill="1" applyBorder="1" applyAlignment="1">
      <alignment horizontal="left" vertical="center" wrapText="1"/>
    </xf>
    <xf numFmtId="0" fontId="0" fillId="0" borderId="38" xfId="0" applyBorder="1" applyAlignment="1">
      <alignment wrapText="1"/>
    </xf>
    <xf numFmtId="0" fontId="0" fillId="0" borderId="39" xfId="0" applyBorder="1" applyAlignment="1">
      <alignment horizontal="left" vertical="center" wrapText="1"/>
    </xf>
    <xf numFmtId="0" fontId="0" fillId="0" borderId="35" xfId="0" applyBorder="1" applyAlignment="1">
      <alignment horizontal="left" vertical="center" wrapText="1"/>
    </xf>
    <xf numFmtId="0" fontId="0" fillId="0" borderId="40"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0" fillId="0" borderId="43" xfId="0" applyBorder="1" applyAlignment="1">
      <alignment horizontal="left" vertical="center" wrapText="1"/>
    </xf>
    <xf numFmtId="0" fontId="0" fillId="0" borderId="0" xfId="0" applyAlignment="1">
      <alignment horizontal="left" vertical="center" wrapText="1"/>
    </xf>
    <xf numFmtId="0" fontId="1" fillId="7" borderId="0" xfId="0" applyFont="1" applyFill="1" applyAlignment="1">
      <alignment wrapText="1"/>
    </xf>
    <xf numFmtId="0" fontId="0" fillId="5" borderId="44" xfId="0" applyFill="1" applyBorder="1" applyAlignment="1">
      <alignment horizontal="left" vertical="center" wrapText="1"/>
    </xf>
    <xf numFmtId="0" fontId="0" fillId="5" borderId="45" xfId="0" applyFill="1" applyBorder="1" applyAlignment="1">
      <alignment horizontal="left" vertical="center" wrapText="1"/>
    </xf>
    <xf numFmtId="0" fontId="0" fillId="0" borderId="44" xfId="0" applyBorder="1" applyAlignment="1">
      <alignment horizontal="left" vertical="center" wrapText="1"/>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5" borderId="23" xfId="0" applyFill="1" applyBorder="1" applyAlignment="1">
      <alignment horizontal="left" vertical="center" wrapText="1"/>
    </xf>
    <xf numFmtId="0" fontId="0" fillId="5" borderId="11" xfId="0" applyFill="1" applyBorder="1" applyAlignment="1">
      <alignment horizontal="left" vertical="center" wrapText="1"/>
    </xf>
    <xf numFmtId="0" fontId="0" fillId="0" borderId="37" xfId="0" applyBorder="1" applyAlignment="1">
      <alignment wrapText="1"/>
    </xf>
    <xf numFmtId="0" fontId="0" fillId="0" borderId="47" xfId="0" applyBorder="1" applyAlignment="1">
      <alignment horizontal="left" vertical="center" wrapText="1"/>
    </xf>
    <xf numFmtId="0" fontId="0" fillId="5" borderId="6" xfId="0" applyFill="1" applyBorder="1" applyAlignment="1">
      <alignment horizontal="left" vertical="center" wrapText="1"/>
    </xf>
    <xf numFmtId="0" fontId="0" fillId="5" borderId="46" xfId="0" applyFill="1" applyBorder="1" applyAlignment="1">
      <alignment horizontal="left" vertical="center" wrapText="1"/>
    </xf>
    <xf numFmtId="0" fontId="0" fillId="5" borderId="29" xfId="0" applyFill="1" applyBorder="1" applyAlignment="1">
      <alignment horizontal="left" vertical="center" wrapText="1"/>
    </xf>
    <xf numFmtId="0" fontId="0" fillId="5" borderId="30" xfId="0" applyFill="1" applyBorder="1" applyAlignment="1">
      <alignment horizontal="left" vertical="center" wrapText="1"/>
    </xf>
    <xf numFmtId="0" fontId="0" fillId="5" borderId="18" xfId="0" applyFill="1" applyBorder="1" applyAlignment="1">
      <alignment horizontal="left" vertical="center" wrapText="1"/>
    </xf>
    <xf numFmtId="0" fontId="0" fillId="5" borderId="7" xfId="0" applyFill="1" applyBorder="1" applyAlignment="1">
      <alignment horizontal="left" vertical="center" wrapText="1"/>
    </xf>
    <xf numFmtId="0" fontId="0" fillId="5" borderId="48" xfId="0" applyFill="1" applyBorder="1" applyAlignment="1">
      <alignment wrapText="1"/>
    </xf>
    <xf numFmtId="0" fontId="0" fillId="5" borderId="49" xfId="0" applyFill="1" applyBorder="1" applyAlignment="1">
      <alignment wrapText="1"/>
    </xf>
    <xf numFmtId="0" fontId="0" fillId="5" borderId="24" xfId="0" applyFill="1" applyBorder="1" applyAlignment="1">
      <alignment horizontal="left" vertical="center" wrapText="1"/>
    </xf>
    <xf numFmtId="0" fontId="0" fillId="5" borderId="50" xfId="0" applyFill="1" applyBorder="1" applyAlignment="1">
      <alignment wrapText="1"/>
    </xf>
    <xf numFmtId="0" fontId="0" fillId="0" borderId="31" xfId="0" applyBorder="1" applyAlignment="1">
      <alignment horizontal="left" vertical="center" wrapText="1"/>
    </xf>
    <xf numFmtId="0" fontId="0" fillId="0" borderId="36" xfId="0" applyBorder="1" applyAlignment="1">
      <alignment wrapText="1"/>
    </xf>
    <xf numFmtId="0" fontId="0" fillId="5" borderId="13" xfId="0" applyFill="1" applyBorder="1" applyAlignment="1">
      <alignment wrapText="1"/>
    </xf>
    <xf numFmtId="0" fontId="0" fillId="5" borderId="37" xfId="0" applyFill="1" applyBorder="1" applyAlignment="1">
      <alignment wrapText="1"/>
    </xf>
    <xf numFmtId="0" fontId="0" fillId="5" borderId="14" xfId="0" applyFill="1" applyBorder="1" applyAlignment="1">
      <alignment horizontal="left" vertical="center" wrapText="1"/>
    </xf>
    <xf numFmtId="0" fontId="0" fillId="5" borderId="16" xfId="0" applyFill="1" applyBorder="1" applyAlignment="1">
      <alignment horizontal="left" vertical="center" wrapText="1"/>
    </xf>
    <xf numFmtId="0" fontId="0" fillId="5" borderId="47" xfId="0" applyFill="1" applyBorder="1" applyAlignment="1">
      <alignment horizontal="left" vertical="center" wrapText="1"/>
    </xf>
    <xf numFmtId="0" fontId="1" fillId="8" borderId="0" xfId="0" applyFont="1" applyFill="1" applyAlignment="1">
      <alignment wrapText="1"/>
    </xf>
    <xf numFmtId="0" fontId="0" fillId="5" borderId="4" xfId="0" applyFill="1" applyBorder="1" applyAlignment="1">
      <alignment vertical="center" wrapText="1"/>
    </xf>
    <xf numFmtId="0" fontId="0" fillId="0" borderId="0" xfId="0" applyAlignment="1">
      <alignment horizontal="left" vertical="center" wrapText="1"/>
    </xf>
    <xf numFmtId="0" fontId="0" fillId="5" borderId="9" xfId="0" applyFill="1" applyBorder="1" applyAlignment="1">
      <alignment vertical="center" wrapText="1"/>
    </xf>
    <xf numFmtId="0" fontId="0" fillId="5" borderId="22" xfId="0" applyFill="1" applyBorder="1" applyAlignment="1">
      <alignment vertical="center" wrapText="1"/>
    </xf>
    <xf numFmtId="0" fontId="0" fillId="2" borderId="30" xfId="0" applyFill="1" applyBorder="1" applyAlignment="1">
      <alignment horizontal="left" vertical="center" wrapText="1"/>
    </xf>
    <xf numFmtId="0" fontId="0" fillId="0" borderId="51" xfId="0" applyBorder="1" applyAlignment="1">
      <alignment wrapText="1"/>
    </xf>
    <xf numFmtId="0" fontId="0" fillId="4" borderId="9" xfId="0" applyFill="1" applyBorder="1" applyAlignment="1">
      <alignment horizontal="left" vertical="center" wrapText="1"/>
    </xf>
    <xf numFmtId="0" fontId="0" fillId="0" borderId="42" xfId="0" applyBorder="1" applyAlignment="1">
      <alignment wrapText="1"/>
    </xf>
    <xf numFmtId="0" fontId="0" fillId="4" borderId="42" xfId="0" applyFill="1" applyBorder="1" applyAlignment="1">
      <alignment wrapText="1"/>
    </xf>
    <xf numFmtId="0" fontId="0" fillId="0" borderId="52" xfId="0" applyBorder="1" applyAlignment="1">
      <alignment wrapText="1"/>
    </xf>
    <xf numFmtId="0" fontId="0" fillId="5" borderId="53" xfId="0" applyFill="1" applyBorder="1" applyAlignment="1">
      <alignment horizontal="left" vertical="center" wrapText="1"/>
    </xf>
    <xf numFmtId="0" fontId="0" fillId="5" borderId="7" xfId="0" applyFill="1" applyBorder="1" applyAlignment="1">
      <alignment horizontal="left" vertical="center" wrapText="1"/>
    </xf>
    <xf numFmtId="0" fontId="0" fillId="5" borderId="54" xfId="0" applyFill="1" applyBorder="1" applyAlignment="1">
      <alignment horizontal="left" vertical="center" wrapText="1"/>
    </xf>
    <xf numFmtId="0" fontId="0" fillId="5" borderId="1" xfId="0" applyFill="1" applyBorder="1" applyAlignment="1">
      <alignment horizontal="left" vertical="center" wrapText="1"/>
    </xf>
    <xf numFmtId="0" fontId="0" fillId="5" borderId="15" xfId="0" applyFill="1" applyBorder="1" applyAlignment="1">
      <alignment wrapText="1"/>
    </xf>
    <xf numFmtId="0" fontId="0" fillId="5" borderId="55" xfId="0" applyFill="1" applyBorder="1" applyAlignment="1">
      <alignment horizontal="left" vertical="center" wrapText="1"/>
    </xf>
    <xf numFmtId="0" fontId="0" fillId="5" borderId="30" xfId="0" applyFill="1" applyBorder="1" applyAlignment="1">
      <alignment horizontal="left" vertical="center" wrapText="1"/>
    </xf>
    <xf numFmtId="0" fontId="0" fillId="0" borderId="16" xfId="0" applyBorder="1" applyAlignment="1">
      <alignment wrapText="1"/>
    </xf>
    <xf numFmtId="0" fontId="0" fillId="0" borderId="11" xfId="0" applyBorder="1" applyAlignment="1">
      <alignment horizontal="left" vertical="center" wrapText="1"/>
    </xf>
    <xf numFmtId="0" fontId="0" fillId="5" borderId="4" xfId="0" applyFill="1" applyBorder="1" applyAlignment="1">
      <alignment horizontal="left" wrapText="1"/>
    </xf>
    <xf numFmtId="0" fontId="0" fillId="5" borderId="16" xfId="0" applyFill="1" applyBorder="1" applyAlignment="1">
      <alignment wrapText="1"/>
    </xf>
    <xf numFmtId="0" fontId="0" fillId="5" borderId="9" xfId="0" applyFill="1" applyBorder="1" applyAlignment="1">
      <alignment horizontal="left" wrapText="1"/>
    </xf>
    <xf numFmtId="0" fontId="0" fillId="5" borderId="22" xfId="0" applyFill="1" applyBorder="1" applyAlignment="1">
      <alignment horizontal="left" wrapText="1"/>
    </xf>
    <xf numFmtId="0" fontId="0" fillId="4" borderId="10" xfId="0" applyFill="1" applyBorder="1" applyAlignment="1">
      <alignment horizontal="left" vertical="center" wrapText="1"/>
    </xf>
    <xf numFmtId="0" fontId="0" fillId="4" borderId="11" xfId="0" applyFill="1" applyBorder="1" applyAlignment="1">
      <alignment horizontal="center" vertical="center" wrapText="1"/>
    </xf>
    <xf numFmtId="0" fontId="0" fillId="4" borderId="31" xfId="0" applyFill="1" applyBorder="1" applyAlignment="1">
      <alignment horizontal="left" vertical="center" wrapText="1"/>
    </xf>
    <xf numFmtId="0" fontId="0" fillId="4" borderId="31" xfId="0" applyFill="1" applyBorder="1" applyAlignment="1">
      <alignment wrapText="1"/>
    </xf>
    <xf numFmtId="0" fontId="0" fillId="4" borderId="16" xfId="0" applyFill="1" applyBorder="1" applyAlignment="1">
      <alignment horizontal="left" wrapText="1"/>
    </xf>
    <xf numFmtId="0" fontId="0" fillId="4" borderId="1" xfId="0" applyFill="1" applyBorder="1" applyAlignment="1">
      <alignment wrapText="1"/>
    </xf>
    <xf numFmtId="0" fontId="0" fillId="0" borderId="7" xfId="0" applyBorder="1" applyAlignment="1">
      <alignment horizontal="left" vertical="center" wrapText="1"/>
    </xf>
    <xf numFmtId="0" fontId="0" fillId="0" borderId="4" xfId="0" applyBorder="1" applyAlignment="1">
      <alignment horizontal="left" wrapText="1"/>
    </xf>
    <xf numFmtId="0" fontId="0" fillId="0" borderId="9" xfId="0" applyBorder="1" applyAlignment="1">
      <alignment horizontal="left" wrapText="1"/>
    </xf>
    <xf numFmtId="0" fontId="0" fillId="0" borderId="29" xfId="0" applyBorder="1" applyAlignment="1">
      <alignment horizontal="left" vertical="center" wrapText="1"/>
    </xf>
    <xf numFmtId="0" fontId="0" fillId="0" borderId="22" xfId="0" applyBorder="1" applyAlignment="1">
      <alignment horizontal="left" wrapText="1"/>
    </xf>
    <xf numFmtId="0" fontId="0" fillId="6" borderId="11" xfId="0" applyFill="1" applyBorder="1" applyAlignment="1">
      <alignment wrapText="1"/>
    </xf>
    <xf numFmtId="0" fontId="2" fillId="3" borderId="33"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8" xfId="0" applyFont="1" applyFill="1" applyBorder="1" applyAlignment="1">
      <alignment horizontal="left" vertical="center" wrapText="1"/>
    </xf>
    <xf numFmtId="0" fontId="3" fillId="0" borderId="56" xfId="0" applyFont="1" applyBorder="1" applyAlignment="1">
      <alignment horizontal="left" vertical="center" wrapText="1"/>
    </xf>
    <xf numFmtId="0" fontId="3" fillId="0" borderId="4" xfId="0" applyFont="1" applyBorder="1" applyAlignment="1">
      <alignment horizontal="left" vertical="top" wrapText="1"/>
    </xf>
    <xf numFmtId="0" fontId="5" fillId="5" borderId="5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0" borderId="7" xfId="0" applyFont="1" applyBorder="1" applyAlignment="1">
      <alignment horizontal="left" vertical="center" wrapText="1"/>
    </xf>
    <xf numFmtId="0" fontId="3" fillId="0" borderId="13" xfId="0" applyFont="1" applyBorder="1" applyAlignment="1">
      <alignment horizontal="left" vertical="center" wrapText="1"/>
    </xf>
    <xf numFmtId="0" fontId="3" fillId="0" borderId="3" xfId="0" applyFont="1" applyBorder="1" applyAlignment="1">
      <alignment horizontal="left" vertical="center" wrapText="1"/>
    </xf>
    <xf numFmtId="0" fontId="3" fillId="0" borderId="9" xfId="0" applyFont="1" applyBorder="1" applyAlignment="1">
      <alignment horizontal="left" vertical="top" wrapText="1"/>
    </xf>
    <xf numFmtId="0" fontId="5" fillId="5" borderId="54"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5" xfId="0" applyFont="1" applyBorder="1" applyAlignment="1">
      <alignment horizontal="left" vertical="center" wrapText="1"/>
    </xf>
    <xf numFmtId="0" fontId="3" fillId="0" borderId="22" xfId="0" applyFont="1" applyBorder="1" applyAlignment="1">
      <alignment horizontal="left" vertical="top" wrapText="1"/>
    </xf>
    <xf numFmtId="0" fontId="5" fillId="5" borderId="55" xfId="0" applyFont="1" applyFill="1" applyBorder="1" applyAlignment="1">
      <alignment horizontal="left" vertical="center" wrapText="1"/>
    </xf>
    <xf numFmtId="0" fontId="3" fillId="5" borderId="30" xfId="0" applyFont="1" applyFill="1" applyBorder="1" applyAlignment="1">
      <alignment horizontal="left" vertical="center" wrapText="1"/>
    </xf>
    <xf numFmtId="0" fontId="3" fillId="5" borderId="30" xfId="0" applyFont="1" applyFill="1" applyBorder="1" applyAlignment="1">
      <alignment horizontal="left" vertical="center" wrapText="1"/>
    </xf>
    <xf numFmtId="0" fontId="3" fillId="0" borderId="30" xfId="0" applyFont="1" applyBorder="1" applyAlignment="1">
      <alignment horizontal="left" vertical="center" wrapText="1"/>
    </xf>
    <xf numFmtId="0" fontId="3" fillId="0" borderId="37" xfId="0" applyFont="1" applyBorder="1" applyAlignment="1">
      <alignment horizontal="left" vertical="center" wrapText="1"/>
    </xf>
    <xf numFmtId="0" fontId="3" fillId="0" borderId="53" xfId="0" applyFont="1" applyBorder="1" applyAlignment="1">
      <alignment horizontal="left" vertical="center" wrapText="1"/>
    </xf>
    <xf numFmtId="0" fontId="3" fillId="0" borderId="7" xfId="0" applyFont="1" applyBorder="1" applyAlignment="1">
      <alignment horizontal="left" vertical="center" wrapText="1"/>
    </xf>
    <xf numFmtId="0" fontId="3" fillId="0" borderId="54" xfId="0" applyFont="1" applyBorder="1" applyAlignment="1">
      <alignment horizontal="left" vertical="center" wrapText="1"/>
    </xf>
    <xf numFmtId="0" fontId="3" fillId="0" borderId="1" xfId="0" applyFont="1" applyBorder="1" applyAlignment="1">
      <alignment horizontal="left" vertical="center" wrapText="1"/>
    </xf>
    <xf numFmtId="0" fontId="3" fillId="0" borderId="55" xfId="0" applyFont="1" applyBorder="1" applyAlignment="1">
      <alignment horizontal="left" vertical="center" wrapText="1"/>
    </xf>
    <xf numFmtId="0" fontId="3" fillId="0" borderId="30" xfId="0" applyFont="1" applyBorder="1" applyAlignment="1">
      <alignment horizontal="left" vertical="center" wrapText="1"/>
    </xf>
    <xf numFmtId="0" fontId="3" fillId="5" borderId="57" xfId="0" applyFont="1" applyFill="1" applyBorder="1" applyAlignment="1">
      <alignment horizontal="left" vertical="center" wrapText="1"/>
    </xf>
    <xf numFmtId="0" fontId="3" fillId="5" borderId="31" xfId="0" applyFont="1" applyFill="1" applyBorder="1" applyAlignment="1">
      <alignment horizontal="left" vertical="center" wrapText="1"/>
    </xf>
    <xf numFmtId="0" fontId="0" fillId="5" borderId="29" xfId="0" applyFill="1" applyBorder="1" applyAlignment="1">
      <alignment horizontal="left" vertical="center" wrapText="1"/>
    </xf>
    <xf numFmtId="0" fontId="3" fillId="5" borderId="31" xfId="0" applyFont="1" applyFill="1" applyBorder="1" applyAlignment="1">
      <alignment horizontal="left" vertical="center" wrapText="1"/>
    </xf>
    <xf numFmtId="0" fontId="3" fillId="0" borderId="31" xfId="0" applyFont="1" applyBorder="1" applyAlignment="1">
      <alignment horizontal="left" vertical="center" wrapText="1"/>
    </xf>
    <xf numFmtId="0" fontId="3" fillId="0" borderId="36" xfId="0" applyFont="1" applyBorder="1" applyAlignment="1">
      <alignment horizontal="left" vertical="center" wrapText="1"/>
    </xf>
    <xf numFmtId="0" fontId="3" fillId="5" borderId="54" xfId="0" applyFont="1" applyFill="1" applyBorder="1" applyAlignment="1">
      <alignment horizontal="left" vertical="center" wrapText="1"/>
    </xf>
    <xf numFmtId="0" fontId="3" fillId="5" borderId="55" xfId="0" applyFont="1" applyFill="1" applyBorder="1" applyAlignment="1">
      <alignment horizontal="left" vertical="center" wrapText="1"/>
    </xf>
    <xf numFmtId="0" fontId="3" fillId="0" borderId="58" xfId="0" applyFont="1" applyBorder="1" applyAlignment="1">
      <alignment horizontal="left" vertical="center" wrapText="1"/>
    </xf>
    <xf numFmtId="0" fontId="3" fillId="0" borderId="31" xfId="0" applyFont="1" applyBorder="1" applyAlignment="1">
      <alignment horizontal="left" vertical="center" wrapText="1"/>
    </xf>
    <xf numFmtId="0" fontId="3" fillId="0" borderId="21" xfId="0" applyFont="1" applyBorder="1" applyAlignment="1">
      <alignment horizontal="left" vertical="center" wrapText="1"/>
    </xf>
    <xf numFmtId="0" fontId="3" fillId="0" borderId="59" xfId="0" applyFont="1" applyBorder="1" applyAlignment="1">
      <alignment horizontal="left"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3" fillId="0" borderId="2" xfId="0" applyFont="1" applyBorder="1" applyAlignment="1">
      <alignment horizontal="left" vertical="center" wrapText="1"/>
    </xf>
    <xf numFmtId="0" fontId="3" fillId="0" borderId="17" xfId="0" applyFont="1" applyBorder="1" applyAlignment="1">
      <alignment horizontal="left" vertical="center" wrapText="1"/>
    </xf>
    <xf numFmtId="0" fontId="0" fillId="4" borderId="11" xfId="0" applyFill="1" applyBorder="1" applyAlignment="1">
      <alignment horizontal="left" vertical="center" wrapText="1"/>
    </xf>
    <xf numFmtId="0" fontId="3" fillId="5" borderId="58" xfId="0" applyFont="1" applyFill="1" applyBorder="1" applyAlignment="1">
      <alignment horizontal="left" vertical="center" wrapText="1"/>
    </xf>
    <xf numFmtId="0" fontId="0" fillId="5" borderId="31" xfId="0" applyFill="1" applyBorder="1" applyAlignment="1">
      <alignment horizontal="left" vertical="center" wrapText="1"/>
    </xf>
    <xf numFmtId="0" fontId="3" fillId="5" borderId="21" xfId="0" applyFont="1" applyFill="1" applyBorder="1" applyAlignment="1">
      <alignment horizontal="left" vertical="center" wrapText="1"/>
    </xf>
    <xf numFmtId="0" fontId="3" fillId="0" borderId="60" xfId="0" applyFont="1" applyBorder="1" applyAlignment="1">
      <alignment horizontal="left" vertical="center" wrapText="1"/>
    </xf>
    <xf numFmtId="0" fontId="3" fillId="5" borderId="25" xfId="0" applyFont="1" applyFill="1" applyBorder="1" applyAlignment="1">
      <alignment horizontal="left" vertical="center" wrapText="1"/>
    </xf>
    <xf numFmtId="0" fontId="0" fillId="4" borderId="29" xfId="0" applyFill="1" applyBorder="1" applyAlignment="1">
      <alignment horizontal="left" vertical="center" wrapText="1"/>
    </xf>
    <xf numFmtId="0" fontId="0" fillId="5" borderId="56" xfId="0" applyFill="1" applyBorder="1" applyAlignment="1">
      <alignment wrapText="1"/>
    </xf>
    <xf numFmtId="0" fontId="0" fillId="5" borderId="20" xfId="0" applyFill="1" applyBorder="1" applyAlignment="1">
      <alignment horizontal="left" vertical="center" wrapText="1"/>
    </xf>
    <xf numFmtId="0" fontId="0" fillId="5" borderId="3" xfId="0" applyFill="1" applyBorder="1" applyAlignment="1">
      <alignment wrapText="1"/>
    </xf>
    <xf numFmtId="0" fontId="0" fillId="5" borderId="24" xfId="0" applyFill="1" applyBorder="1" applyAlignment="1">
      <alignment horizontal="left" vertical="center" wrapText="1"/>
    </xf>
    <xf numFmtId="0" fontId="0" fillId="5" borderId="60" xfId="0" applyFill="1" applyBorder="1" applyAlignment="1">
      <alignment wrapText="1"/>
    </xf>
    <xf numFmtId="0" fontId="0" fillId="0" borderId="26" xfId="0" applyBorder="1" applyAlignment="1">
      <alignment horizontal="left" wrapText="1"/>
    </xf>
    <xf numFmtId="0" fontId="0" fillId="5" borderId="26" xfId="0" applyFill="1" applyBorder="1" applyAlignment="1">
      <alignment horizontal="left" wrapText="1"/>
    </xf>
    <xf numFmtId="0" fontId="0" fillId="5" borderId="28" xfId="0" applyFill="1" applyBorder="1" applyAlignment="1">
      <alignment wrapText="1"/>
    </xf>
    <xf numFmtId="0" fontId="0" fillId="0" borderId="56" xfId="0" applyBorder="1" applyAlignment="1">
      <alignment wrapText="1"/>
    </xf>
    <xf numFmtId="0" fontId="0" fillId="0" borderId="60" xfId="0" applyBorder="1" applyAlignment="1">
      <alignment wrapText="1"/>
    </xf>
    <xf numFmtId="0" fontId="0" fillId="5" borderId="27" xfId="0" applyFill="1" applyBorder="1" applyAlignment="1">
      <alignment wrapText="1"/>
    </xf>
    <xf numFmtId="0" fontId="0" fillId="4" borderId="2" xfId="0" applyFill="1" applyBorder="1" applyAlignment="1">
      <alignment horizontal="left" vertical="center" wrapText="1"/>
    </xf>
    <xf numFmtId="0" fontId="0" fillId="0" borderId="0" xfId="0" applyAlignment="1">
      <alignment vertical="center" wrapText="1"/>
    </xf>
    <xf numFmtId="0" fontId="0" fillId="6" borderId="0" xfId="0" applyFill="1" applyAlignment="1">
      <alignmen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wrapText="1"/>
    </xf>
    <xf numFmtId="0" fontId="0" fillId="0" borderId="12" xfId="0" applyBorder="1" applyAlignment="1">
      <alignment horizontal="left" vertical="center" wrapText="1"/>
    </xf>
    <xf numFmtId="0" fontId="0" fillId="2" borderId="4" xfId="0" applyFill="1" applyBorder="1" applyAlignment="1">
      <alignment horizontal="left" vertical="center" wrapText="1"/>
    </xf>
    <xf numFmtId="0" fontId="0" fillId="2" borderId="9" xfId="0" applyFill="1" applyBorder="1" applyAlignment="1">
      <alignment horizontal="left" vertical="center" wrapText="1"/>
    </xf>
    <xf numFmtId="0" fontId="0" fillId="5" borderId="2" xfId="0" applyFill="1" applyBorder="1" applyAlignment="1">
      <alignment horizontal="center" vertical="center" wrapText="1"/>
    </xf>
    <xf numFmtId="0" fontId="0" fillId="5" borderId="2" xfId="0" applyFill="1" applyBorder="1" applyAlignment="1">
      <alignment horizontal="left" wrapText="1"/>
    </xf>
    <xf numFmtId="0" fontId="0" fillId="5" borderId="11" xfId="0" applyFill="1" applyBorder="1" applyAlignment="1">
      <alignment horizontal="center" vertical="center" wrapText="1"/>
    </xf>
    <xf numFmtId="0" fontId="0" fillId="5" borderId="11" xfId="0" applyFill="1" applyBorder="1" applyAlignment="1">
      <alignment horizontal="left" wrapText="1"/>
    </xf>
    <xf numFmtId="0" fontId="0" fillId="2" borderId="22" xfId="0" applyFill="1" applyBorder="1" applyAlignment="1">
      <alignment horizontal="left" vertical="center" wrapText="1"/>
    </xf>
    <xf numFmtId="0" fontId="0" fillId="5" borderId="31" xfId="0" applyFill="1" applyBorder="1" applyAlignment="1">
      <alignment horizontal="center" vertical="center" wrapText="1"/>
    </xf>
    <xf numFmtId="0" fontId="0" fillId="5" borderId="29"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E156E-A823-4B9D-8A59-50330B90C947}">
  <dimension ref="A2:U457"/>
  <sheetViews>
    <sheetView tabSelected="1" workbookViewId="0">
      <selection sqref="A1:XFD1048576"/>
    </sheetView>
  </sheetViews>
  <sheetFormatPr baseColWidth="10" defaultColWidth="67" defaultRowHeight="13.8"/>
  <cols>
    <col min="1" max="1" width="67" style="2"/>
    <col min="2" max="2" width="13.09765625" style="2" bestFit="1" customWidth="1"/>
    <col min="3" max="3" width="55.59765625" style="2" bestFit="1" customWidth="1"/>
    <col min="4" max="4" width="67" style="2"/>
    <col min="5" max="5" width="15" style="2" bestFit="1" customWidth="1"/>
    <col min="6" max="6" width="67" style="2"/>
    <col min="7" max="7" width="55.69921875" style="2" bestFit="1" customWidth="1"/>
    <col min="8" max="16384" width="67" style="2"/>
  </cols>
  <sheetData>
    <row r="2" spans="1:7">
      <c r="A2" s="1" t="s">
        <v>0</v>
      </c>
      <c r="B2" s="1"/>
    </row>
    <row r="4" spans="1:7" ht="28.2" thickBot="1">
      <c r="A4" s="3" t="s">
        <v>1</v>
      </c>
      <c r="B4" s="4" t="s">
        <v>2</v>
      </c>
      <c r="C4" s="4" t="s">
        <v>3</v>
      </c>
      <c r="D4" s="4" t="s">
        <v>4</v>
      </c>
      <c r="E4" s="4" t="s">
        <v>5</v>
      </c>
      <c r="F4" s="4" t="s">
        <v>6</v>
      </c>
      <c r="G4" s="4" t="s">
        <v>7</v>
      </c>
    </row>
    <row r="5" spans="1:7">
      <c r="A5" s="5" t="s">
        <v>8</v>
      </c>
      <c r="B5" s="6" t="s">
        <v>9</v>
      </c>
      <c r="C5" s="7" t="s">
        <v>10</v>
      </c>
      <c r="D5" s="8" t="s">
        <v>11</v>
      </c>
      <c r="E5" s="9" t="str">
        <f>LEFT($B$5,6)&amp;"_T"&amp;ROW()-ROW($B$5)+1</f>
        <v>M1_P1_T1</v>
      </c>
      <c r="F5" s="10" t="s">
        <v>12</v>
      </c>
      <c r="G5" s="11" t="s">
        <v>13</v>
      </c>
    </row>
    <row r="6" spans="1:7">
      <c r="A6" s="5"/>
      <c r="B6" s="12"/>
      <c r="C6" s="13"/>
      <c r="D6" s="14"/>
      <c r="E6" s="9" t="str">
        <f t="shared" ref="E6:E8" si="0">LEFT($B$5,6)&amp;"_T"&amp;ROW()-ROW($B$5)+1</f>
        <v>M1_P1_T2</v>
      </c>
      <c r="F6" s="15" t="s">
        <v>14</v>
      </c>
      <c r="G6" s="16"/>
    </row>
    <row r="7" spans="1:7">
      <c r="A7" s="5"/>
      <c r="B7" s="12"/>
      <c r="C7" s="13"/>
      <c r="D7" s="14"/>
      <c r="E7" s="9" t="str">
        <f t="shared" si="0"/>
        <v>M1_P1_T3</v>
      </c>
      <c r="F7" s="15" t="s">
        <v>15</v>
      </c>
      <c r="G7" s="16"/>
    </row>
    <row r="8" spans="1:7" ht="14.4" thickBot="1">
      <c r="A8" s="5"/>
      <c r="B8" s="12"/>
      <c r="C8" s="13"/>
      <c r="D8" s="14"/>
      <c r="E8" s="9" t="str">
        <f t="shared" si="0"/>
        <v>M1_P1_T4</v>
      </c>
      <c r="F8" s="17" t="s">
        <v>16</v>
      </c>
      <c r="G8" s="16"/>
    </row>
    <row r="9" spans="1:7">
      <c r="A9" s="5"/>
      <c r="B9" s="18" t="s">
        <v>17</v>
      </c>
      <c r="C9" s="19" t="s">
        <v>18</v>
      </c>
      <c r="D9" s="20" t="s">
        <v>19</v>
      </c>
      <c r="E9" s="21" t="str">
        <f>LEFT($B$9,6)&amp;"_T"&amp;ROW()-ROW($B$9)+1</f>
        <v>M1_P2_T1</v>
      </c>
      <c r="F9" s="22" t="s">
        <v>20</v>
      </c>
      <c r="G9" s="23" t="s">
        <v>21</v>
      </c>
    </row>
    <row r="10" spans="1:7">
      <c r="A10" s="5"/>
      <c r="B10" s="24"/>
      <c r="C10" s="25"/>
      <c r="D10" s="26"/>
      <c r="E10" s="21" t="str">
        <f t="shared" ref="E10:E12" si="1">LEFT($B$9,6)&amp;"_T"&amp;ROW()-ROW($B$9)+1</f>
        <v>M1_P2_T2</v>
      </c>
      <c r="F10" s="27" t="s">
        <v>22</v>
      </c>
      <c r="G10" s="28"/>
    </row>
    <row r="11" spans="1:7">
      <c r="A11" s="5"/>
      <c r="B11" s="24"/>
      <c r="C11" s="25"/>
      <c r="D11" s="26"/>
      <c r="E11" s="21" t="str">
        <f t="shared" si="1"/>
        <v>M1_P2_T3</v>
      </c>
      <c r="F11" s="27" t="s">
        <v>23</v>
      </c>
      <c r="G11" s="28"/>
    </row>
    <row r="12" spans="1:7" ht="14.4" thickBot="1">
      <c r="A12" s="5"/>
      <c r="B12" s="24"/>
      <c r="C12" s="25"/>
      <c r="D12" s="26"/>
      <c r="E12" s="29" t="str">
        <f t="shared" si="1"/>
        <v>M1_P2_T4</v>
      </c>
      <c r="F12" s="30" t="s">
        <v>24</v>
      </c>
      <c r="G12" s="28"/>
    </row>
    <row r="13" spans="1:7">
      <c r="A13" s="5"/>
      <c r="B13" s="6" t="s">
        <v>25</v>
      </c>
      <c r="C13" s="31" t="s">
        <v>26</v>
      </c>
      <c r="D13" s="32" t="s">
        <v>27</v>
      </c>
      <c r="E13" s="9" t="str">
        <f>LEFT($B$13,6)&amp;"_T"&amp;ROW()-ROW($B$13)+1</f>
        <v>M1_P3_T1</v>
      </c>
      <c r="F13" s="10" t="s">
        <v>28</v>
      </c>
      <c r="G13" s="33" t="s">
        <v>29</v>
      </c>
    </row>
    <row r="14" spans="1:7">
      <c r="A14" s="5"/>
      <c r="B14" s="12"/>
      <c r="C14" s="34"/>
      <c r="D14" s="35"/>
      <c r="E14" s="9" t="str">
        <f t="shared" ref="E14:E16" si="2">LEFT($B$13,6)&amp;"_T"&amp;ROW()-ROW($B$13)+1</f>
        <v>M1_P3_T2</v>
      </c>
      <c r="F14" s="15" t="s">
        <v>30</v>
      </c>
      <c r="G14" s="36"/>
    </row>
    <row r="15" spans="1:7">
      <c r="A15" s="5"/>
      <c r="B15" s="12"/>
      <c r="C15" s="34"/>
      <c r="D15" s="35"/>
      <c r="E15" s="9" t="str">
        <f t="shared" si="2"/>
        <v>M1_P3_T3</v>
      </c>
      <c r="F15" s="15" t="s">
        <v>31</v>
      </c>
      <c r="G15" s="36"/>
    </row>
    <row r="16" spans="1:7" ht="14.4" thickBot="1">
      <c r="A16" s="5"/>
      <c r="B16" s="12"/>
      <c r="C16" s="34"/>
      <c r="D16" s="35"/>
      <c r="E16" s="9" t="str">
        <f t="shared" si="2"/>
        <v>M1_P3_T4</v>
      </c>
      <c r="F16" s="17" t="s">
        <v>32</v>
      </c>
      <c r="G16" s="36"/>
    </row>
    <row r="17" spans="1:7">
      <c r="A17" s="5"/>
      <c r="B17" s="6" t="s">
        <v>33</v>
      </c>
      <c r="C17" s="37" t="s">
        <v>34</v>
      </c>
      <c r="D17" s="38" t="s">
        <v>35</v>
      </c>
      <c r="E17" s="21" t="str">
        <f>LEFT($B$17,6)&amp;"_T"&amp;ROW()-ROW($B$17)+1</f>
        <v>M1_P4_T1</v>
      </c>
      <c r="F17" s="22" t="s">
        <v>36</v>
      </c>
      <c r="G17" s="39" t="s">
        <v>37</v>
      </c>
    </row>
    <row r="18" spans="1:7">
      <c r="A18" s="5"/>
      <c r="B18" s="12"/>
      <c r="C18" s="40"/>
      <c r="D18" s="41"/>
      <c r="E18" s="21" t="str">
        <f t="shared" ref="E18:E20" si="3">LEFT($B$17,6)&amp;"_T"&amp;ROW()-ROW($B$17)+1</f>
        <v>M1_P4_T2</v>
      </c>
      <c r="F18" s="27" t="s">
        <v>38</v>
      </c>
      <c r="G18" s="42"/>
    </row>
    <row r="19" spans="1:7">
      <c r="A19" s="5"/>
      <c r="B19" s="12"/>
      <c r="C19" s="40"/>
      <c r="D19" s="41"/>
      <c r="E19" s="21" t="str">
        <f t="shared" si="3"/>
        <v>M1_P4_T3</v>
      </c>
      <c r="F19" s="27" t="s">
        <v>39</v>
      </c>
      <c r="G19" s="42"/>
    </row>
    <row r="20" spans="1:7" ht="14.4" thickBot="1">
      <c r="A20" s="5"/>
      <c r="B20" s="12"/>
      <c r="C20" s="40"/>
      <c r="D20" s="41"/>
      <c r="E20" s="29" t="str">
        <f t="shared" si="3"/>
        <v>M1_P4_T4</v>
      </c>
      <c r="F20" s="30" t="s">
        <v>40</v>
      </c>
      <c r="G20" s="42"/>
    </row>
    <row r="21" spans="1:7">
      <c r="A21" s="5"/>
      <c r="B21" s="18" t="s">
        <v>41</v>
      </c>
      <c r="C21" s="31" t="s">
        <v>42</v>
      </c>
      <c r="D21" s="32" t="s">
        <v>43</v>
      </c>
      <c r="E21" s="9" t="str">
        <f>LEFT($B$21,6)&amp;"_T"&amp;ROW()-ROW($B$21)+1</f>
        <v>M1_P5_T1</v>
      </c>
      <c r="F21" s="43" t="s">
        <v>44</v>
      </c>
      <c r="G21" s="44" t="s">
        <v>45</v>
      </c>
    </row>
    <row r="22" spans="1:7">
      <c r="A22" s="5"/>
      <c r="B22" s="24"/>
      <c r="C22" s="34"/>
      <c r="D22" s="35"/>
      <c r="E22" s="9" t="str">
        <f t="shared" ref="E22:E24" si="4">LEFT($B$21,6)&amp;"_T"&amp;ROW()-ROW($B$21)+1</f>
        <v>M1_P5_T2</v>
      </c>
      <c r="F22" s="45" t="s">
        <v>46</v>
      </c>
      <c r="G22" s="46"/>
    </row>
    <row r="23" spans="1:7">
      <c r="A23" s="5"/>
      <c r="B23" s="24"/>
      <c r="C23" s="34"/>
      <c r="D23" s="35"/>
      <c r="E23" s="9" t="str">
        <f t="shared" si="4"/>
        <v>M1_P5_T3</v>
      </c>
      <c r="F23" s="45" t="s">
        <v>47</v>
      </c>
      <c r="G23" s="46"/>
    </row>
    <row r="24" spans="1:7" ht="14.4" thickBot="1">
      <c r="A24" s="5"/>
      <c r="B24" s="24"/>
      <c r="C24" s="34"/>
      <c r="D24" s="35"/>
      <c r="E24" s="9" t="str">
        <f t="shared" si="4"/>
        <v>M1_P5_T4</v>
      </c>
      <c r="F24" s="47" t="s">
        <v>48</v>
      </c>
      <c r="G24" s="46"/>
    </row>
    <row r="25" spans="1:7">
      <c r="A25" s="5"/>
      <c r="B25" s="6" t="s">
        <v>49</v>
      </c>
      <c r="C25" s="37" t="s">
        <v>50</v>
      </c>
      <c r="D25" s="48" t="s">
        <v>51</v>
      </c>
      <c r="E25" s="21" t="str">
        <f>LEFT($B$25,6)&amp;"_T"&amp;ROW()-ROW($B$25)+1</f>
        <v>M1_P6_T1</v>
      </c>
      <c r="F25" s="49" t="s">
        <v>52</v>
      </c>
      <c r="G25" s="23" t="s">
        <v>53</v>
      </c>
    </row>
    <row r="26" spans="1:7">
      <c r="A26" s="5"/>
      <c r="B26" s="12"/>
      <c r="C26" s="40"/>
      <c r="D26" s="50"/>
      <c r="E26" s="21" t="str">
        <f t="shared" ref="E26:E28" si="5">LEFT($B$25,6)&amp;"_T"&amp;ROW()-ROW($B$25)+1</f>
        <v>M1_P6_T2</v>
      </c>
      <c r="F26" s="51" t="s">
        <v>54</v>
      </c>
      <c r="G26" s="28"/>
    </row>
    <row r="27" spans="1:7">
      <c r="A27" s="5"/>
      <c r="B27" s="12"/>
      <c r="C27" s="40"/>
      <c r="D27" s="50"/>
      <c r="E27" s="21" t="str">
        <f t="shared" si="5"/>
        <v>M1_P6_T3</v>
      </c>
      <c r="F27" s="51" t="s">
        <v>55</v>
      </c>
      <c r="G27" s="28"/>
    </row>
    <row r="28" spans="1:7" ht="14.4" thickBot="1">
      <c r="A28" s="5"/>
      <c r="B28" s="52"/>
      <c r="C28" s="53"/>
      <c r="D28" s="54"/>
      <c r="E28" s="29" t="str">
        <f t="shared" si="5"/>
        <v>M1_P6_T4</v>
      </c>
      <c r="F28" s="55" t="s">
        <v>56</v>
      </c>
      <c r="G28" s="56"/>
    </row>
    <row r="29" spans="1:7">
      <c r="A29" s="57"/>
      <c r="B29" s="12" t="s">
        <v>57</v>
      </c>
      <c r="C29" s="35" t="s">
        <v>58</v>
      </c>
      <c r="D29" s="35" t="s">
        <v>59</v>
      </c>
      <c r="E29" s="9" t="str">
        <f>LEFT($B$29,6)&amp;"_T"&amp;ROW()-ROW($B$29)+1</f>
        <v>M1_P7_T1</v>
      </c>
      <c r="F29" s="58" t="s">
        <v>60</v>
      </c>
      <c r="G29" s="12" t="s">
        <v>61</v>
      </c>
    </row>
    <row r="30" spans="1:7">
      <c r="A30" s="57"/>
      <c r="B30" s="12"/>
      <c r="C30" s="35"/>
      <c r="D30" s="35"/>
      <c r="E30" s="9" t="str">
        <f t="shared" ref="E30:E32" si="6">LEFT($B$29,6)&amp;"_T"&amp;ROW()-ROW($B$29)+1</f>
        <v>M1_P7_T2</v>
      </c>
      <c r="F30" s="59" t="s">
        <v>62</v>
      </c>
      <c r="G30" s="12"/>
    </row>
    <row r="31" spans="1:7">
      <c r="A31" s="57"/>
      <c r="B31" s="12"/>
      <c r="C31" s="35"/>
      <c r="D31" s="35"/>
      <c r="E31" s="9" t="str">
        <f t="shared" si="6"/>
        <v>M1_P7_T3</v>
      </c>
      <c r="F31" s="59" t="s">
        <v>63</v>
      </c>
      <c r="G31" s="12"/>
    </row>
    <row r="32" spans="1:7" ht="14.4" thickBot="1">
      <c r="A32" s="57"/>
      <c r="B32" s="52"/>
      <c r="C32" s="35"/>
      <c r="D32" s="35"/>
      <c r="E32" s="9" t="str">
        <f t="shared" si="6"/>
        <v>M1_P7_T4</v>
      </c>
      <c r="F32" s="60" t="s">
        <v>64</v>
      </c>
      <c r="G32" s="12"/>
    </row>
    <row r="33" spans="1:7">
      <c r="A33" s="5"/>
      <c r="B33" s="18" t="s">
        <v>65</v>
      </c>
      <c r="C33" s="37" t="s">
        <v>66</v>
      </c>
      <c r="D33" s="38" t="s">
        <v>67</v>
      </c>
      <c r="E33" s="21" t="str">
        <f>LEFT($B$33,6)&amp;"_T"&amp;ROW()-ROW($B$33)+1</f>
        <v>M1_P8_T1</v>
      </c>
      <c r="F33" s="22" t="s">
        <v>68</v>
      </c>
      <c r="G33" s="23" t="s">
        <v>69</v>
      </c>
    </row>
    <row r="34" spans="1:7">
      <c r="A34" s="5"/>
      <c r="B34" s="24"/>
      <c r="C34" s="40"/>
      <c r="D34" s="41"/>
      <c r="E34" s="21" t="str">
        <f t="shared" ref="E34:E36" si="7">LEFT($B$33,6)&amp;"_T"&amp;ROW()-ROW($B$33)+1</f>
        <v>M1_P8_T2</v>
      </c>
      <c r="F34" s="27" t="s">
        <v>70</v>
      </c>
      <c r="G34" s="28"/>
    </row>
    <row r="35" spans="1:7">
      <c r="A35" s="5"/>
      <c r="B35" s="24"/>
      <c r="C35" s="40"/>
      <c r="D35" s="41"/>
      <c r="E35" s="21" t="str">
        <f t="shared" si="7"/>
        <v>M1_P8_T3</v>
      </c>
      <c r="F35" s="27" t="s">
        <v>71</v>
      </c>
      <c r="G35" s="28"/>
    </row>
    <row r="36" spans="1:7" ht="14.4" thickBot="1">
      <c r="A36" s="5"/>
      <c r="B36" s="61"/>
      <c r="C36" s="53"/>
      <c r="D36" s="62"/>
      <c r="E36" s="21" t="str">
        <f t="shared" si="7"/>
        <v>M1_P8_T4</v>
      </c>
      <c r="F36" s="63" t="s">
        <v>72</v>
      </c>
      <c r="G36" s="56"/>
    </row>
    <row r="37" spans="1:7">
      <c r="A37" s="5"/>
      <c r="B37" s="6" t="s">
        <v>73</v>
      </c>
      <c r="C37" s="31" t="s">
        <v>74</v>
      </c>
      <c r="D37" s="32" t="s">
        <v>75</v>
      </c>
      <c r="E37" s="64" t="str">
        <f>LEFT($B$37,6)&amp;"_T"&amp;ROW()-ROW($B$37)+1</f>
        <v>M1_P9_T1</v>
      </c>
      <c r="F37" s="10" t="s">
        <v>76</v>
      </c>
      <c r="G37" s="11" t="s">
        <v>77</v>
      </c>
    </row>
    <row r="38" spans="1:7">
      <c r="A38" s="5"/>
      <c r="B38" s="12"/>
      <c r="C38" s="34"/>
      <c r="D38" s="35"/>
      <c r="E38" s="65" t="s">
        <v>78</v>
      </c>
      <c r="F38" s="15" t="s">
        <v>79</v>
      </c>
      <c r="G38" s="16"/>
    </row>
    <row r="39" spans="1:7">
      <c r="A39" s="5"/>
      <c r="B39" s="12"/>
      <c r="C39" s="34"/>
      <c r="D39" s="35"/>
      <c r="E39" s="65" t="s">
        <v>80</v>
      </c>
      <c r="F39" s="15" t="s">
        <v>81</v>
      </c>
      <c r="G39" s="16"/>
    </row>
    <row r="40" spans="1:7" ht="14.4" thickBot="1">
      <c r="A40" s="5"/>
      <c r="B40" s="52"/>
      <c r="C40" s="66"/>
      <c r="D40" s="67"/>
      <c r="E40" s="68" t="s">
        <v>82</v>
      </c>
      <c r="F40" s="69" t="s">
        <v>83</v>
      </c>
      <c r="G40" s="70"/>
    </row>
    <row r="41" spans="1:7">
      <c r="A41" s="5"/>
      <c r="B41" s="24" t="s">
        <v>84</v>
      </c>
      <c r="C41" s="40" t="s">
        <v>85</v>
      </c>
      <c r="D41" s="41" t="s">
        <v>86</v>
      </c>
      <c r="E41" s="21" t="str">
        <f>LEFT($B$41,6)&amp;"_T"&amp;ROW()-ROW($B$41)+1</f>
        <v>M1_P10_T1</v>
      </c>
      <c r="F41" s="71" t="s">
        <v>87</v>
      </c>
      <c r="G41" s="28" t="s">
        <v>77</v>
      </c>
    </row>
    <row r="42" spans="1:7">
      <c r="A42" s="5"/>
      <c r="B42" s="24"/>
      <c r="C42" s="40"/>
      <c r="D42" s="41"/>
      <c r="E42" s="21" t="str">
        <f t="shared" ref="E42:E45" si="8">LEFT($B$41,6)&amp;"_T"&amp;ROW()-ROW($B$41)+1</f>
        <v>M1_P10_T2</v>
      </c>
      <c r="F42" s="27" t="s">
        <v>88</v>
      </c>
      <c r="G42" s="28"/>
    </row>
    <row r="43" spans="1:7">
      <c r="A43" s="5"/>
      <c r="B43" s="24"/>
      <c r="C43" s="40"/>
      <c r="D43" s="41"/>
      <c r="E43" s="21" t="str">
        <f t="shared" si="8"/>
        <v>M1_P10_T3</v>
      </c>
      <c r="F43" s="27" t="s">
        <v>89</v>
      </c>
      <c r="G43" s="28"/>
    </row>
    <row r="44" spans="1:7">
      <c r="A44" s="5"/>
      <c r="B44" s="24"/>
      <c r="C44" s="40"/>
      <c r="D44" s="41"/>
      <c r="E44" s="21" t="str">
        <f t="shared" si="8"/>
        <v>M1_P10_T4</v>
      </c>
      <c r="F44" s="27" t="s">
        <v>90</v>
      </c>
      <c r="G44" s="28"/>
    </row>
    <row r="45" spans="1:7" ht="14.4" thickBot="1">
      <c r="A45" s="5"/>
      <c r="B45" s="61"/>
      <c r="C45" s="53"/>
      <c r="D45" s="62"/>
      <c r="E45" s="21" t="str">
        <f t="shared" si="8"/>
        <v>M1_P10_T5</v>
      </c>
      <c r="F45" s="63"/>
      <c r="G45" s="56"/>
    </row>
    <row r="46" spans="1:7" s="72" customFormat="1"/>
    <row r="48" spans="1:7">
      <c r="A48" s="1" t="s">
        <v>91</v>
      </c>
      <c r="B48" s="73"/>
    </row>
    <row r="49" spans="1:10" ht="14.4" thickBot="1">
      <c r="A49" s="74"/>
    </row>
    <row r="50" spans="1:10" ht="28.2" thickBot="1">
      <c r="A50" s="75" t="s">
        <v>1</v>
      </c>
      <c r="B50" s="76" t="s">
        <v>2</v>
      </c>
      <c r="C50" s="76" t="s">
        <v>3</v>
      </c>
      <c r="D50" s="76" t="s">
        <v>4</v>
      </c>
      <c r="E50" s="77" t="s">
        <v>5</v>
      </c>
      <c r="F50" s="76" t="s">
        <v>6</v>
      </c>
      <c r="G50" s="78" t="s">
        <v>7</v>
      </c>
    </row>
    <row r="51" spans="1:10">
      <c r="A51" s="6" t="s">
        <v>92</v>
      </c>
      <c r="B51" s="18" t="s">
        <v>93</v>
      </c>
      <c r="C51" s="79" t="s">
        <v>94</v>
      </c>
      <c r="D51" s="25" t="s">
        <v>95</v>
      </c>
      <c r="E51" s="21" t="str">
        <f>LEFT($B$51,6)&amp;"_T"&amp;ROW()-ROW($B$51)+1</f>
        <v>M2_P1_T1</v>
      </c>
      <c r="F51" s="71" t="s">
        <v>96</v>
      </c>
      <c r="G51" s="80" t="s">
        <v>97</v>
      </c>
    </row>
    <row r="52" spans="1:10">
      <c r="A52" s="12"/>
      <c r="B52" s="24"/>
      <c r="C52" s="79"/>
      <c r="D52" s="25"/>
      <c r="E52" s="21" t="str">
        <f t="shared" ref="E52:E55" si="9">LEFT($B$51,6)&amp;"_T"&amp;ROW()-ROW($B$51)+1</f>
        <v>M2_P1_T2</v>
      </c>
      <c r="F52" s="27" t="s">
        <v>98</v>
      </c>
      <c r="G52" s="81"/>
    </row>
    <row r="53" spans="1:10">
      <c r="A53" s="12"/>
      <c r="B53" s="24"/>
      <c r="C53" s="79"/>
      <c r="D53" s="25"/>
      <c r="E53" s="21" t="str">
        <f t="shared" si="9"/>
        <v>M2_P1_T3</v>
      </c>
      <c r="F53" s="27" t="s">
        <v>99</v>
      </c>
      <c r="G53" s="81"/>
    </row>
    <row r="54" spans="1:10">
      <c r="A54" s="12"/>
      <c r="B54" s="24"/>
      <c r="C54" s="79"/>
      <c r="D54" s="25"/>
      <c r="E54" s="21" t="str">
        <f t="shared" si="9"/>
        <v>M2_P1_T4</v>
      </c>
      <c r="F54" s="27" t="s">
        <v>100</v>
      </c>
      <c r="G54" s="81"/>
    </row>
    <row r="55" spans="1:10" ht="14.4" thickBot="1">
      <c r="A55" s="12"/>
      <c r="B55" s="24"/>
      <c r="C55" s="79"/>
      <c r="D55" s="25"/>
      <c r="E55" s="29" t="str">
        <f t="shared" si="9"/>
        <v>M2_P1_T5</v>
      </c>
      <c r="F55" s="30" t="s">
        <v>101</v>
      </c>
      <c r="G55" s="82"/>
    </row>
    <row r="56" spans="1:10">
      <c r="A56" s="12"/>
      <c r="B56" s="6" t="s">
        <v>102</v>
      </c>
      <c r="C56" s="7" t="s">
        <v>103</v>
      </c>
      <c r="D56" s="8" t="s">
        <v>104</v>
      </c>
      <c r="E56" s="64" t="str">
        <f>LEFT($B$56,6)&amp;"_T"&amp;ROW()-ROW($B$56)+1</f>
        <v>M2_P2_T1</v>
      </c>
      <c r="F56" s="10" t="s">
        <v>105</v>
      </c>
      <c r="G56" s="83" t="s">
        <v>77</v>
      </c>
    </row>
    <row r="57" spans="1:10">
      <c r="A57" s="12"/>
      <c r="B57" s="12"/>
      <c r="C57" s="13"/>
      <c r="D57" s="14"/>
      <c r="E57" s="9" t="str">
        <f>LEFT($B$56,6)&amp;"_T"&amp;ROW()-ROW($B$56)+1</f>
        <v>M2_P2_T2</v>
      </c>
      <c r="F57" s="15" t="s">
        <v>106</v>
      </c>
      <c r="G57" s="84"/>
    </row>
    <row r="58" spans="1:10">
      <c r="A58" s="12"/>
      <c r="B58" s="12"/>
      <c r="C58" s="13"/>
      <c r="D58" s="14"/>
      <c r="E58" s="9" t="str">
        <f t="shared" ref="E58:E60" si="10">LEFT($B$56,6)&amp;"_T"&amp;ROW()-ROW($B$56)+1</f>
        <v>M2_P2_T3</v>
      </c>
      <c r="F58" s="15" t="s">
        <v>107</v>
      </c>
      <c r="G58" s="84"/>
    </row>
    <row r="59" spans="1:10">
      <c r="A59" s="12"/>
      <c r="B59" s="12"/>
      <c r="C59" s="13"/>
      <c r="D59" s="14"/>
      <c r="E59" s="9" t="str">
        <f t="shared" si="10"/>
        <v>M2_P2_T4</v>
      </c>
      <c r="F59" s="15" t="s">
        <v>108</v>
      </c>
      <c r="G59" s="84"/>
    </row>
    <row r="60" spans="1:10" ht="14.4" thickBot="1">
      <c r="A60" s="12"/>
      <c r="B60" s="52"/>
      <c r="C60" s="85"/>
      <c r="D60" s="86"/>
      <c r="E60" s="87" t="str">
        <f t="shared" si="10"/>
        <v>M2_P2_T5</v>
      </c>
      <c r="F60" s="69" t="s">
        <v>109</v>
      </c>
      <c r="G60" s="88"/>
    </row>
    <row r="61" spans="1:10" ht="14.4" thickBot="1">
      <c r="A61" s="12"/>
      <c r="B61" s="24" t="s">
        <v>110</v>
      </c>
      <c r="C61" s="89" t="s">
        <v>111</v>
      </c>
      <c r="D61" s="25" t="s">
        <v>112</v>
      </c>
      <c r="E61" s="21" t="str">
        <f>LEFT($B$61,6)&amp;"_T"&amp;ROW()-ROW($B$61)+1</f>
        <v>M2_P3_T1</v>
      </c>
      <c r="F61" s="71" t="s">
        <v>113</v>
      </c>
      <c r="G61" s="80" t="s">
        <v>77</v>
      </c>
    </row>
    <row r="62" spans="1:10" ht="14.4" thickBot="1">
      <c r="A62" s="12"/>
      <c r="B62" s="24"/>
      <c r="C62" s="89"/>
      <c r="D62" s="25"/>
      <c r="E62" s="21" t="str">
        <f t="shared" ref="E62:E65" si="11">LEFT($B$61,6)&amp;"_T"&amp;ROW()-ROW($B$61)+1</f>
        <v>M2_P3_T2</v>
      </c>
      <c r="F62" s="27" t="s">
        <v>114</v>
      </c>
      <c r="G62" s="81"/>
      <c r="J62" s="90"/>
    </row>
    <row r="63" spans="1:10">
      <c r="A63" s="12"/>
      <c r="B63" s="24"/>
      <c r="C63" s="89"/>
      <c r="D63" s="25"/>
      <c r="E63" s="21" t="str">
        <f t="shared" si="11"/>
        <v>M2_P3_T3</v>
      </c>
      <c r="F63" s="27" t="s">
        <v>115</v>
      </c>
      <c r="G63" s="81"/>
    </row>
    <row r="64" spans="1:10">
      <c r="A64" s="12"/>
      <c r="B64" s="24"/>
      <c r="C64" s="89"/>
      <c r="D64" s="25"/>
      <c r="E64" s="21" t="str">
        <f t="shared" si="11"/>
        <v>M2_P3_T4</v>
      </c>
      <c r="F64" s="27" t="s">
        <v>116</v>
      </c>
      <c r="G64" s="81"/>
    </row>
    <row r="65" spans="1:7" ht="14.4" thickBot="1">
      <c r="A65" s="12"/>
      <c r="B65" s="24"/>
      <c r="C65" s="89"/>
      <c r="D65" s="25"/>
      <c r="E65" s="29" t="str">
        <f t="shared" si="11"/>
        <v>M2_P3_T5</v>
      </c>
      <c r="F65" s="30" t="s">
        <v>117</v>
      </c>
      <c r="G65" s="82"/>
    </row>
    <row r="66" spans="1:7">
      <c r="A66" s="12"/>
      <c r="B66" s="6" t="s">
        <v>118</v>
      </c>
      <c r="C66" s="91" t="s">
        <v>119</v>
      </c>
      <c r="D66" s="7" t="s">
        <v>120</v>
      </c>
      <c r="E66" s="64" t="str">
        <f>LEFT($B$66,6)&amp;"_T"&amp;ROW()-ROW($B$66)+1</f>
        <v>M2_P4_T1</v>
      </c>
      <c r="F66" s="10" t="s">
        <v>121</v>
      </c>
      <c r="G66" s="83" t="s">
        <v>77</v>
      </c>
    </row>
    <row r="67" spans="1:7">
      <c r="A67" s="12"/>
      <c r="B67" s="12"/>
      <c r="C67" s="92"/>
      <c r="D67" s="13"/>
      <c r="E67" s="9" t="str">
        <f t="shared" ref="E67:E70" si="12">LEFT($B$66,6)&amp;"_T"&amp;ROW()-ROW($B$66)+1</f>
        <v>M2_P4_T2</v>
      </c>
      <c r="F67" s="15" t="s">
        <v>122</v>
      </c>
      <c r="G67" s="84"/>
    </row>
    <row r="68" spans="1:7">
      <c r="A68" s="12"/>
      <c r="B68" s="12"/>
      <c r="C68" s="92"/>
      <c r="D68" s="13"/>
      <c r="E68" s="9" t="str">
        <f t="shared" si="12"/>
        <v>M2_P4_T3</v>
      </c>
      <c r="F68" s="15" t="s">
        <v>123</v>
      </c>
      <c r="G68" s="84"/>
    </row>
    <row r="69" spans="1:7">
      <c r="A69" s="12"/>
      <c r="B69" s="12"/>
      <c r="C69" s="92"/>
      <c r="D69" s="13"/>
      <c r="E69" s="9" t="str">
        <f t="shared" si="12"/>
        <v>M2_P4_T4</v>
      </c>
      <c r="F69" s="15" t="s">
        <v>124</v>
      </c>
      <c r="G69" s="84"/>
    </row>
    <row r="70" spans="1:7" ht="14.4" thickBot="1">
      <c r="A70" s="52"/>
      <c r="B70" s="52"/>
      <c r="C70" s="93"/>
      <c r="D70" s="85"/>
      <c r="E70" s="87" t="str">
        <f t="shared" si="12"/>
        <v>M2_P4_T5</v>
      </c>
      <c r="F70" s="69" t="s">
        <v>125</v>
      </c>
      <c r="G70" s="88"/>
    </row>
    <row r="72" spans="1:7" s="72" customFormat="1"/>
    <row r="74" spans="1:7">
      <c r="A74" s="1" t="s">
        <v>126</v>
      </c>
      <c r="B74" s="73"/>
    </row>
    <row r="76" spans="1:7" ht="28.2" thickBot="1">
      <c r="A76" s="3" t="s">
        <v>1</v>
      </c>
      <c r="B76" s="4" t="s">
        <v>2</v>
      </c>
      <c r="C76" s="4" t="s">
        <v>3</v>
      </c>
      <c r="D76" s="4" t="s">
        <v>4</v>
      </c>
      <c r="E76" s="4" t="s">
        <v>5</v>
      </c>
      <c r="F76" s="4" t="s">
        <v>6</v>
      </c>
      <c r="G76" s="4" t="s">
        <v>7</v>
      </c>
    </row>
    <row r="77" spans="1:7">
      <c r="A77" s="94" t="s">
        <v>127</v>
      </c>
      <c r="B77" s="18" t="s">
        <v>128</v>
      </c>
      <c r="C77" s="19" t="s">
        <v>129</v>
      </c>
      <c r="D77" s="20" t="s">
        <v>130</v>
      </c>
      <c r="E77" s="29" t="str">
        <f>LEFT($B$77,6)&amp;"_T"&amp;ROW()-ROW($B$77)+1</f>
        <v>M3_P1_T1</v>
      </c>
      <c r="F77" s="22" t="s">
        <v>131</v>
      </c>
      <c r="G77" s="23" t="s">
        <v>132</v>
      </c>
    </row>
    <row r="78" spans="1:7">
      <c r="A78" s="95"/>
      <c r="B78" s="24"/>
      <c r="C78" s="25"/>
      <c r="D78" s="26"/>
      <c r="E78" s="29" t="str">
        <f t="shared" ref="E78:E81" si="13">LEFT($B$77,6)&amp;"_T"&amp;ROW()-ROW($B$77)+1</f>
        <v>M3_P1_T2</v>
      </c>
      <c r="F78" s="27" t="s">
        <v>133</v>
      </c>
      <c r="G78" s="28"/>
    </row>
    <row r="79" spans="1:7">
      <c r="A79" s="95"/>
      <c r="B79" s="24"/>
      <c r="C79" s="25"/>
      <c r="D79" s="26"/>
      <c r="E79" s="29" t="str">
        <f t="shared" si="13"/>
        <v>M3_P1_T3</v>
      </c>
      <c r="F79" s="27" t="s">
        <v>134</v>
      </c>
      <c r="G79" s="28"/>
    </row>
    <row r="80" spans="1:7">
      <c r="A80" s="95"/>
      <c r="B80" s="24"/>
      <c r="C80" s="25"/>
      <c r="D80" s="26"/>
      <c r="E80" s="29" t="str">
        <f t="shared" si="13"/>
        <v>M3_P1_T4</v>
      </c>
      <c r="F80" s="27" t="s">
        <v>135</v>
      </c>
      <c r="G80" s="28"/>
    </row>
    <row r="81" spans="1:7" ht="14.4" thickBot="1">
      <c r="A81" s="95"/>
      <c r="B81" s="24"/>
      <c r="C81" s="25"/>
      <c r="D81" s="26"/>
      <c r="E81" s="29" t="str">
        <f t="shared" si="13"/>
        <v>M3_P1_T5</v>
      </c>
      <c r="F81" s="30" t="s">
        <v>136</v>
      </c>
      <c r="G81" s="28"/>
    </row>
    <row r="82" spans="1:7">
      <c r="A82" s="95"/>
      <c r="B82" s="6" t="s">
        <v>137</v>
      </c>
      <c r="C82" s="7" t="s">
        <v>138</v>
      </c>
      <c r="D82" s="8" t="s">
        <v>139</v>
      </c>
      <c r="E82" s="64" t="str">
        <f>LEFT($B$82,6)&amp;"_T"&amp;ROW()-ROW($B$82)+1</f>
        <v>M3_P2_T1</v>
      </c>
      <c r="F82" s="10" t="s">
        <v>140</v>
      </c>
      <c r="G82" s="11" t="s">
        <v>141</v>
      </c>
    </row>
    <row r="83" spans="1:7">
      <c r="A83" s="95"/>
      <c r="B83" s="12"/>
      <c r="C83" s="13"/>
      <c r="D83" s="14"/>
      <c r="E83" s="9" t="str">
        <f t="shared" ref="E83:E86" si="14">LEFT($B$82,6)&amp;"_T"&amp;ROW()-ROW($B$82)+1</f>
        <v>M3_P2_T2</v>
      </c>
      <c r="F83" s="15" t="s">
        <v>142</v>
      </c>
      <c r="G83" s="16"/>
    </row>
    <row r="84" spans="1:7">
      <c r="A84" s="95"/>
      <c r="B84" s="12"/>
      <c r="C84" s="13"/>
      <c r="D84" s="14"/>
      <c r="E84" s="9" t="str">
        <f t="shared" si="14"/>
        <v>M3_P2_T3</v>
      </c>
      <c r="F84" s="15" t="s">
        <v>143</v>
      </c>
      <c r="G84" s="16"/>
    </row>
    <row r="85" spans="1:7">
      <c r="A85" s="95"/>
      <c r="B85" s="12"/>
      <c r="C85" s="13"/>
      <c r="D85" s="14"/>
      <c r="E85" s="9" t="str">
        <f t="shared" si="14"/>
        <v>M3_P2_T4</v>
      </c>
      <c r="F85" s="15" t="s">
        <v>144</v>
      </c>
      <c r="G85" s="16"/>
    </row>
    <row r="86" spans="1:7" ht="14.4" thickBot="1">
      <c r="A86" s="95"/>
      <c r="B86" s="52"/>
      <c r="C86" s="85"/>
      <c r="D86" s="86"/>
      <c r="E86" s="87" t="str">
        <f t="shared" si="14"/>
        <v>M3_P2_T5</v>
      </c>
      <c r="F86" s="69" t="s">
        <v>145</v>
      </c>
      <c r="G86" s="70"/>
    </row>
    <row r="87" spans="1:7">
      <c r="A87" s="95"/>
      <c r="B87" s="24" t="s">
        <v>146</v>
      </c>
      <c r="C87" s="25" t="s">
        <v>147</v>
      </c>
      <c r="D87" s="26" t="s">
        <v>148</v>
      </c>
      <c r="E87" s="29" t="str">
        <f>LEFT($B$87,6)&amp;"_T"&amp;ROW()-ROW($B$87)+1</f>
        <v>M3_P3_T1</v>
      </c>
      <c r="F87" s="71" t="s">
        <v>149</v>
      </c>
      <c r="G87" s="28" t="s">
        <v>150</v>
      </c>
    </row>
    <row r="88" spans="1:7">
      <c r="A88" s="95"/>
      <c r="B88" s="24"/>
      <c r="C88" s="25"/>
      <c r="D88" s="26"/>
      <c r="E88" s="29" t="str">
        <f t="shared" ref="E88:E91" si="15">LEFT($B$87,6)&amp;"_T"&amp;ROW()-ROW($B$87)+1</f>
        <v>M3_P3_T2</v>
      </c>
      <c r="F88" s="27" t="s">
        <v>151</v>
      </c>
      <c r="G88" s="28"/>
    </row>
    <row r="89" spans="1:7">
      <c r="A89" s="95"/>
      <c r="B89" s="24"/>
      <c r="C89" s="25"/>
      <c r="D89" s="26"/>
      <c r="E89" s="29" t="str">
        <f t="shared" si="15"/>
        <v>M3_P3_T3</v>
      </c>
      <c r="F89" s="27" t="s">
        <v>152</v>
      </c>
      <c r="G89" s="28"/>
    </row>
    <row r="90" spans="1:7">
      <c r="A90" s="95"/>
      <c r="B90" s="24"/>
      <c r="C90" s="25"/>
      <c r="D90" s="26"/>
      <c r="E90" s="29" t="str">
        <f t="shared" si="15"/>
        <v>M3_P3_T4</v>
      </c>
      <c r="F90" s="27" t="s">
        <v>153</v>
      </c>
      <c r="G90" s="28"/>
    </row>
    <row r="91" spans="1:7" ht="14.4" thickBot="1">
      <c r="A91" s="95"/>
      <c r="B91" s="24"/>
      <c r="C91" s="25"/>
      <c r="D91" s="26"/>
      <c r="E91" s="29" t="str">
        <f t="shared" si="15"/>
        <v>M3_P3_T5</v>
      </c>
      <c r="F91" s="30" t="s">
        <v>154</v>
      </c>
      <c r="G91" s="28"/>
    </row>
    <row r="92" spans="1:7">
      <c r="A92" s="95"/>
      <c r="B92" s="6" t="s">
        <v>155</v>
      </c>
      <c r="C92" s="7" t="s">
        <v>156</v>
      </c>
      <c r="D92" s="8" t="s">
        <v>157</v>
      </c>
      <c r="E92" s="64" t="str">
        <f>LEFT($B$92,6)&amp;"_T"&amp;ROW()-ROW($B$92)+1</f>
        <v>M3_P4_T1</v>
      </c>
      <c r="F92" s="10" t="s">
        <v>158</v>
      </c>
      <c r="G92" s="11" t="s">
        <v>159</v>
      </c>
    </row>
    <row r="93" spans="1:7">
      <c r="A93" s="95"/>
      <c r="B93" s="12"/>
      <c r="C93" s="13"/>
      <c r="D93" s="14"/>
      <c r="E93" s="9" t="str">
        <f t="shared" ref="E93:E96" si="16">LEFT($B$92,6)&amp;"_T"&amp;ROW()-ROW($B$92)+1</f>
        <v>M3_P4_T2</v>
      </c>
      <c r="F93" s="15" t="s">
        <v>160</v>
      </c>
      <c r="G93" s="16"/>
    </row>
    <row r="94" spans="1:7">
      <c r="A94" s="95"/>
      <c r="B94" s="12"/>
      <c r="C94" s="13"/>
      <c r="D94" s="14"/>
      <c r="E94" s="9" t="str">
        <f t="shared" si="16"/>
        <v>M3_P4_T3</v>
      </c>
      <c r="F94" s="15" t="s">
        <v>161</v>
      </c>
      <c r="G94" s="16"/>
    </row>
    <row r="95" spans="1:7">
      <c r="A95" s="95"/>
      <c r="B95" s="12"/>
      <c r="C95" s="13"/>
      <c r="D95" s="14"/>
      <c r="E95" s="9" t="str">
        <f t="shared" si="16"/>
        <v>M3_P4_T4</v>
      </c>
      <c r="F95" s="15" t="s">
        <v>162</v>
      </c>
      <c r="G95" s="16"/>
    </row>
    <row r="96" spans="1:7" ht="14.4" thickBot="1">
      <c r="A96" s="95"/>
      <c r="B96" s="52"/>
      <c r="C96" s="85"/>
      <c r="D96" s="86"/>
      <c r="E96" s="87" t="str">
        <f t="shared" si="16"/>
        <v>M3_P4_T5</v>
      </c>
      <c r="F96" s="69" t="s">
        <v>163</v>
      </c>
      <c r="G96" s="70"/>
    </row>
    <row r="97" spans="1:7">
      <c r="A97" s="95"/>
      <c r="B97" s="24" t="s">
        <v>164</v>
      </c>
      <c r="C97" s="25" t="s">
        <v>165</v>
      </c>
      <c r="D97" s="26" t="s">
        <v>166</v>
      </c>
      <c r="E97" s="29" t="str">
        <f>LEFT($B$97,6)&amp;"_T"&amp;ROW()-ROW($B$97)+1</f>
        <v>M3_P5_T1</v>
      </c>
      <c r="F97" s="71" t="s">
        <v>167</v>
      </c>
      <c r="G97" s="28" t="s">
        <v>168</v>
      </c>
    </row>
    <row r="98" spans="1:7">
      <c r="A98" s="95"/>
      <c r="B98" s="24"/>
      <c r="C98" s="25"/>
      <c r="D98" s="26"/>
      <c r="E98" s="29" t="str">
        <f t="shared" ref="E98:E101" si="17">LEFT($B$97,6)&amp;"_T"&amp;ROW()-ROW($B$97)+1</f>
        <v>M3_P5_T2</v>
      </c>
      <c r="F98" s="27" t="s">
        <v>169</v>
      </c>
      <c r="G98" s="28"/>
    </row>
    <row r="99" spans="1:7">
      <c r="A99" s="95"/>
      <c r="B99" s="24"/>
      <c r="C99" s="25"/>
      <c r="D99" s="26"/>
      <c r="E99" s="29" t="str">
        <f t="shared" si="17"/>
        <v>M3_P5_T3</v>
      </c>
      <c r="F99" s="27" t="s">
        <v>170</v>
      </c>
      <c r="G99" s="28"/>
    </row>
    <row r="100" spans="1:7">
      <c r="A100" s="95"/>
      <c r="B100" s="24"/>
      <c r="C100" s="25"/>
      <c r="D100" s="26"/>
      <c r="E100" s="29" t="str">
        <f t="shared" si="17"/>
        <v>M3_P5_T4</v>
      </c>
      <c r="F100" s="27" t="s">
        <v>171</v>
      </c>
      <c r="G100" s="28"/>
    </row>
    <row r="101" spans="1:7" ht="14.4" thickBot="1">
      <c r="A101" s="95"/>
      <c r="B101" s="24"/>
      <c r="C101" s="25"/>
      <c r="D101" s="26"/>
      <c r="E101" s="29" t="str">
        <f t="shared" si="17"/>
        <v>M3_P5_T5</v>
      </c>
      <c r="F101" s="30" t="s">
        <v>172</v>
      </c>
      <c r="G101" s="28"/>
    </row>
    <row r="102" spans="1:7">
      <c r="A102" s="95"/>
      <c r="B102" s="6" t="s">
        <v>173</v>
      </c>
      <c r="C102" s="7" t="s">
        <v>174</v>
      </c>
      <c r="D102" s="8" t="s">
        <v>175</v>
      </c>
      <c r="E102" s="64" t="str">
        <f>LEFT($B$102,6)&amp;"_T"&amp;ROW()-ROW($B$102)+1</f>
        <v>M3_P6_T1</v>
      </c>
      <c r="F102" s="10" t="s">
        <v>176</v>
      </c>
      <c r="G102" s="11" t="s">
        <v>177</v>
      </c>
    </row>
    <row r="103" spans="1:7">
      <c r="A103" s="95"/>
      <c r="B103" s="12"/>
      <c r="C103" s="13"/>
      <c r="D103" s="14"/>
      <c r="E103" s="9" t="str">
        <f t="shared" ref="E103:E106" si="18">LEFT($B$102,6)&amp;"_T"&amp;ROW()-ROW($B$102)+1</f>
        <v>M3_P6_T2</v>
      </c>
      <c r="F103" s="15" t="s">
        <v>178</v>
      </c>
      <c r="G103" s="16"/>
    </row>
    <row r="104" spans="1:7">
      <c r="A104" s="95"/>
      <c r="B104" s="12"/>
      <c r="C104" s="13"/>
      <c r="D104" s="14"/>
      <c r="E104" s="9" t="str">
        <f t="shared" si="18"/>
        <v>M3_P6_T3</v>
      </c>
      <c r="F104" s="15" t="s">
        <v>116</v>
      </c>
      <c r="G104" s="16"/>
    </row>
    <row r="105" spans="1:7">
      <c r="A105" s="95"/>
      <c r="B105" s="12"/>
      <c r="C105" s="13"/>
      <c r="D105" s="14"/>
      <c r="E105" s="9" t="str">
        <f t="shared" si="18"/>
        <v>M3_P6_T4</v>
      </c>
      <c r="F105" s="15" t="s">
        <v>179</v>
      </c>
      <c r="G105" s="16"/>
    </row>
    <row r="106" spans="1:7" ht="14.4" thickBot="1">
      <c r="A106" s="96"/>
      <c r="B106" s="52"/>
      <c r="C106" s="85"/>
      <c r="D106" s="86"/>
      <c r="E106" s="87" t="str">
        <f t="shared" si="18"/>
        <v>M3_P6_T5</v>
      </c>
      <c r="F106" s="69" t="s">
        <v>180</v>
      </c>
      <c r="G106" s="70"/>
    </row>
    <row r="107" spans="1:7">
      <c r="A107" s="97"/>
    </row>
    <row r="108" spans="1:7" s="72" customFormat="1"/>
    <row r="110" spans="1:7">
      <c r="A110" s="98" t="s">
        <v>181</v>
      </c>
      <c r="B110" s="73"/>
    </row>
    <row r="113" spans="1:7" ht="28.2" thickBot="1">
      <c r="A113" s="3" t="s">
        <v>1</v>
      </c>
      <c r="B113" s="4" t="s">
        <v>2</v>
      </c>
      <c r="C113" s="4" t="s">
        <v>3</v>
      </c>
      <c r="D113" s="4" t="s">
        <v>4</v>
      </c>
      <c r="E113" s="4" t="s">
        <v>5</v>
      </c>
      <c r="F113" s="4" t="s">
        <v>6</v>
      </c>
      <c r="G113" s="4" t="s">
        <v>7</v>
      </c>
    </row>
    <row r="114" spans="1:7">
      <c r="A114" s="94" t="s">
        <v>182</v>
      </c>
      <c r="B114" s="19" t="s">
        <v>183</v>
      </c>
      <c r="C114" s="99" t="s">
        <v>184</v>
      </c>
      <c r="D114" s="20" t="s">
        <v>185</v>
      </c>
      <c r="E114" s="29" t="str">
        <f>LEFT($B$114,6)&amp;"_T"&amp;ROW()-ROW($B$114)+1</f>
        <v>M4_P1_T1</v>
      </c>
      <c r="F114" s="22" t="s">
        <v>186</v>
      </c>
      <c r="G114" s="23" t="s">
        <v>187</v>
      </c>
    </row>
    <row r="115" spans="1:7">
      <c r="A115" s="95"/>
      <c r="B115" s="25"/>
      <c r="C115" s="100"/>
      <c r="D115" s="26"/>
      <c r="E115" s="29" t="str">
        <f t="shared" ref="E115:E117" si="19">LEFT($B$114,6)&amp;"_T"&amp;ROW()-ROW($B$114)+1</f>
        <v>M4_P1_T2</v>
      </c>
      <c r="F115" s="27" t="s">
        <v>188</v>
      </c>
      <c r="G115" s="28"/>
    </row>
    <row r="116" spans="1:7">
      <c r="A116" s="95"/>
      <c r="B116" s="25"/>
      <c r="C116" s="100"/>
      <c r="D116" s="26"/>
      <c r="E116" s="29" t="str">
        <f t="shared" si="19"/>
        <v>M4_P1_T3</v>
      </c>
      <c r="F116" s="27" t="s">
        <v>189</v>
      </c>
      <c r="G116" s="28"/>
    </row>
    <row r="117" spans="1:7" ht="14.4" thickBot="1">
      <c r="A117" s="95"/>
      <c r="B117" s="25"/>
      <c r="C117" s="100"/>
      <c r="D117" s="26"/>
      <c r="E117" s="29" t="str">
        <f t="shared" si="19"/>
        <v>M4_P1_T4</v>
      </c>
      <c r="F117" s="30" t="s">
        <v>190</v>
      </c>
      <c r="G117" s="28"/>
    </row>
    <row r="118" spans="1:7">
      <c r="A118" s="95"/>
      <c r="B118" s="7" t="s">
        <v>191</v>
      </c>
      <c r="C118" s="101" t="s">
        <v>192</v>
      </c>
      <c r="D118" s="8" t="s">
        <v>193</v>
      </c>
      <c r="E118" s="64" t="str">
        <f>LEFT($B$118,6)&amp;"_T"&amp;ROW()-ROW($B$118)+1</f>
        <v>M4_P2_T1</v>
      </c>
      <c r="F118" s="10" t="s">
        <v>194</v>
      </c>
      <c r="G118" s="11" t="s">
        <v>187</v>
      </c>
    </row>
    <row r="119" spans="1:7">
      <c r="A119" s="95"/>
      <c r="B119" s="13"/>
      <c r="C119" s="102"/>
      <c r="D119" s="14"/>
      <c r="E119" s="9" t="str">
        <f t="shared" ref="E119:E121" si="20">LEFT($B$118,6)&amp;"_T"&amp;ROW()-ROW($B$118)+1</f>
        <v>M4_P2_T2</v>
      </c>
      <c r="F119" s="15" t="s">
        <v>195</v>
      </c>
      <c r="G119" s="16"/>
    </row>
    <row r="120" spans="1:7">
      <c r="A120" s="95"/>
      <c r="B120" s="13"/>
      <c r="C120" s="102"/>
      <c r="D120" s="14"/>
      <c r="E120" s="9" t="str">
        <f t="shared" si="20"/>
        <v>M4_P2_T3</v>
      </c>
      <c r="F120" s="15" t="s">
        <v>196</v>
      </c>
      <c r="G120" s="16"/>
    </row>
    <row r="121" spans="1:7" ht="14.4" thickBot="1">
      <c r="A121" s="95"/>
      <c r="B121" s="85"/>
      <c r="C121" s="103"/>
      <c r="D121" s="86"/>
      <c r="E121" s="87" t="str">
        <f t="shared" si="20"/>
        <v>M4_P2_T4</v>
      </c>
      <c r="F121" s="69" t="s">
        <v>197</v>
      </c>
      <c r="G121" s="70"/>
    </row>
    <row r="122" spans="1:7">
      <c r="A122" s="95"/>
      <c r="B122" s="25" t="s">
        <v>198</v>
      </c>
      <c r="C122" s="100" t="s">
        <v>199</v>
      </c>
      <c r="D122" s="26" t="s">
        <v>200</v>
      </c>
      <c r="E122" s="29" t="str">
        <f>LEFT($B$122,6)&amp;"_T"&amp;ROW()-ROW($B$122)+1</f>
        <v>M4_P3_T1</v>
      </c>
      <c r="F122" s="71" t="s">
        <v>201</v>
      </c>
      <c r="G122" s="28" t="s">
        <v>187</v>
      </c>
    </row>
    <row r="123" spans="1:7">
      <c r="A123" s="95"/>
      <c r="B123" s="25"/>
      <c r="C123" s="100"/>
      <c r="D123" s="26"/>
      <c r="E123" s="29" t="str">
        <f t="shared" ref="E123:E125" si="21">LEFT($B$122,6)&amp;"_T"&amp;ROW()-ROW($B$122)+1</f>
        <v>M4_P3_T2</v>
      </c>
      <c r="F123" s="27" t="s">
        <v>202</v>
      </c>
      <c r="G123" s="28"/>
    </row>
    <row r="124" spans="1:7">
      <c r="A124" s="95"/>
      <c r="B124" s="25"/>
      <c r="C124" s="100"/>
      <c r="D124" s="26"/>
      <c r="E124" s="29" t="str">
        <f t="shared" si="21"/>
        <v>M4_P3_T3</v>
      </c>
      <c r="F124" s="27" t="s">
        <v>203</v>
      </c>
      <c r="G124" s="28"/>
    </row>
    <row r="125" spans="1:7" ht="14.4" thickBot="1">
      <c r="A125" s="95"/>
      <c r="B125" s="104"/>
      <c r="C125" s="100"/>
      <c r="D125" s="26"/>
      <c r="E125" s="29" t="str">
        <f t="shared" si="21"/>
        <v>M4_P3_T4</v>
      </c>
      <c r="F125" s="30" t="s">
        <v>204</v>
      </c>
      <c r="G125" s="28"/>
    </row>
    <row r="126" spans="1:7">
      <c r="A126" s="95"/>
      <c r="B126" s="91" t="s">
        <v>205</v>
      </c>
      <c r="C126" s="7" t="s">
        <v>206</v>
      </c>
      <c r="D126" s="8" t="s">
        <v>207</v>
      </c>
      <c r="E126" s="64" t="str">
        <f>LEFT($B$126,6)&amp;"_T"&amp;ROW()-ROW($B$126)+1</f>
        <v>M4_P4_T1</v>
      </c>
      <c r="F126" s="10" t="s">
        <v>208</v>
      </c>
      <c r="G126" s="11" t="s">
        <v>187</v>
      </c>
    </row>
    <row r="127" spans="1:7">
      <c r="A127" s="95"/>
      <c r="B127" s="92"/>
      <c r="C127" s="13"/>
      <c r="D127" s="14"/>
      <c r="E127" s="9" t="str">
        <f t="shared" ref="E127:E129" si="22">LEFT($B$126,6)&amp;"_T"&amp;ROW()-ROW($B$126)+1</f>
        <v>M4_P4_T2</v>
      </c>
      <c r="F127" s="15" t="s">
        <v>209</v>
      </c>
      <c r="G127" s="16"/>
    </row>
    <row r="128" spans="1:7">
      <c r="A128" s="95"/>
      <c r="B128" s="92"/>
      <c r="C128" s="13"/>
      <c r="D128" s="14"/>
      <c r="E128" s="9" t="str">
        <f t="shared" si="22"/>
        <v>M4_P4_T3</v>
      </c>
      <c r="F128" s="15" t="s">
        <v>210</v>
      </c>
      <c r="G128" s="16"/>
    </row>
    <row r="129" spans="1:7" ht="14.4" thickBot="1">
      <c r="A129" s="95"/>
      <c r="B129" s="93"/>
      <c r="C129" s="85"/>
      <c r="D129" s="86"/>
      <c r="E129" s="87" t="str">
        <f t="shared" si="22"/>
        <v>M4_P4_T4</v>
      </c>
      <c r="F129" s="69" t="s">
        <v>211</v>
      </c>
      <c r="G129" s="70"/>
    </row>
    <row r="130" spans="1:7">
      <c r="A130" s="95"/>
      <c r="B130" s="19" t="s">
        <v>212</v>
      </c>
      <c r="C130" s="100" t="s">
        <v>213</v>
      </c>
      <c r="D130" s="26" t="s">
        <v>214</v>
      </c>
      <c r="E130" s="105" t="str">
        <f>LEFT($B$130,6)&amp;"_T"&amp;ROW()-ROW($B$130)+1</f>
        <v>M4_P5_T1</v>
      </c>
      <c r="F130" s="71" t="s">
        <v>215</v>
      </c>
      <c r="G130" s="28" t="s">
        <v>187</v>
      </c>
    </row>
    <row r="131" spans="1:7">
      <c r="A131" s="95"/>
      <c r="B131" s="25"/>
      <c r="C131" s="100"/>
      <c r="D131" s="26"/>
      <c r="E131" s="29" t="str">
        <f t="shared" ref="E131:E133" si="23">LEFT($B$130,6)&amp;"_T"&amp;ROW()-ROW($B$130)+1</f>
        <v>M4_P5_T2</v>
      </c>
      <c r="F131" s="27" t="s">
        <v>216</v>
      </c>
      <c r="G131" s="28"/>
    </row>
    <row r="132" spans="1:7">
      <c r="A132" s="95"/>
      <c r="B132" s="25"/>
      <c r="C132" s="100"/>
      <c r="D132" s="26"/>
      <c r="E132" s="29" t="str">
        <f t="shared" si="23"/>
        <v>M4_P5_T3</v>
      </c>
      <c r="F132" s="27" t="s">
        <v>217</v>
      </c>
      <c r="G132" s="28"/>
    </row>
    <row r="133" spans="1:7" ht="14.4" thickBot="1">
      <c r="A133" s="95"/>
      <c r="B133" s="25"/>
      <c r="C133" s="100"/>
      <c r="D133" s="26"/>
      <c r="E133" s="29" t="str">
        <f t="shared" si="23"/>
        <v>M4_P5_T4</v>
      </c>
      <c r="F133" s="30" t="s">
        <v>218</v>
      </c>
      <c r="G133" s="28"/>
    </row>
    <row r="134" spans="1:7">
      <c r="A134" s="95"/>
      <c r="B134" s="7" t="s">
        <v>219</v>
      </c>
      <c r="C134" s="101" t="s">
        <v>220</v>
      </c>
      <c r="D134" s="8" t="s">
        <v>221</v>
      </c>
      <c r="E134" s="64" t="str">
        <f>LEFT($B$134,6)&amp;"_T"&amp;ROW()-ROW($B$134)+1</f>
        <v>M4_P6_T1</v>
      </c>
      <c r="F134" s="43" t="s">
        <v>222</v>
      </c>
      <c r="G134" s="44" t="s">
        <v>187</v>
      </c>
    </row>
    <row r="135" spans="1:7">
      <c r="A135" s="95"/>
      <c r="B135" s="13"/>
      <c r="C135" s="102"/>
      <c r="D135" s="14"/>
      <c r="E135" s="9" t="str">
        <f t="shared" ref="E135:E137" si="24">LEFT($B$134,6)&amp;"_T"&amp;ROW()-ROW($B$134)+1</f>
        <v>M4_P6_T2</v>
      </c>
      <c r="F135" s="45" t="s">
        <v>223</v>
      </c>
      <c r="G135" s="46"/>
    </row>
    <row r="136" spans="1:7">
      <c r="A136" s="95"/>
      <c r="B136" s="13"/>
      <c r="C136" s="102"/>
      <c r="D136" s="14"/>
      <c r="E136" s="9" t="str">
        <f t="shared" si="24"/>
        <v>M4_P6_T3</v>
      </c>
      <c r="F136" s="45" t="s">
        <v>224</v>
      </c>
      <c r="G136" s="46"/>
    </row>
    <row r="137" spans="1:7" ht="14.4" thickBot="1">
      <c r="A137" s="95"/>
      <c r="B137" s="85"/>
      <c r="C137" s="103"/>
      <c r="D137" s="86"/>
      <c r="E137" s="87" t="str">
        <f t="shared" si="24"/>
        <v>M4_P6_T4</v>
      </c>
      <c r="F137" s="106" t="s">
        <v>225</v>
      </c>
      <c r="G137" s="107"/>
    </row>
    <row r="138" spans="1:7">
      <c r="A138" s="95"/>
      <c r="B138" s="19" t="s">
        <v>226</v>
      </c>
      <c r="C138" s="99" t="s">
        <v>227</v>
      </c>
      <c r="D138" s="20" t="s">
        <v>228</v>
      </c>
      <c r="E138" s="108" t="str">
        <f>LEFT($B$138,6)&amp;"_T"&amp;ROW()-ROW($B$138)+1</f>
        <v>M4_P7_T1</v>
      </c>
      <c r="F138" s="22" t="s">
        <v>229</v>
      </c>
      <c r="G138" s="23" t="s">
        <v>230</v>
      </c>
    </row>
    <row r="139" spans="1:7">
      <c r="A139" s="95"/>
      <c r="B139" s="25"/>
      <c r="C139" s="100"/>
      <c r="D139" s="26"/>
      <c r="E139" s="29" t="str">
        <f t="shared" ref="E139:E141" si="25">LEFT($B$138,6)&amp;"_T"&amp;ROW()-ROW($B$138)+1</f>
        <v>M4_P7_T2</v>
      </c>
      <c r="F139" s="27" t="s">
        <v>231</v>
      </c>
      <c r="G139" s="28"/>
    </row>
    <row r="140" spans="1:7">
      <c r="A140" s="95"/>
      <c r="B140" s="25"/>
      <c r="C140" s="100"/>
      <c r="D140" s="26"/>
      <c r="E140" s="29" t="str">
        <f t="shared" si="25"/>
        <v>M4_P7_T3</v>
      </c>
      <c r="F140" s="27" t="s">
        <v>232</v>
      </c>
      <c r="G140" s="28"/>
    </row>
    <row r="141" spans="1:7" ht="14.4" thickBot="1">
      <c r="A141" s="96"/>
      <c r="B141" s="104"/>
      <c r="C141" s="109"/>
      <c r="D141" s="110"/>
      <c r="E141" s="111" t="str">
        <f t="shared" si="25"/>
        <v>M4_P7_T4</v>
      </c>
      <c r="F141" s="63" t="s">
        <v>233</v>
      </c>
      <c r="G141" s="56"/>
    </row>
    <row r="143" spans="1:7" s="72" customFormat="1"/>
    <row r="145" spans="1:7">
      <c r="A145" s="1" t="s">
        <v>234</v>
      </c>
      <c r="B145" s="73"/>
    </row>
    <row r="146" spans="1:7">
      <c r="A146" s="74"/>
    </row>
    <row r="147" spans="1:7" ht="28.2" thickBot="1">
      <c r="A147" s="3" t="s">
        <v>1</v>
      </c>
      <c r="B147" s="4" t="s">
        <v>2</v>
      </c>
      <c r="C147" s="4" t="s">
        <v>3</v>
      </c>
      <c r="D147" s="4" t="s">
        <v>4</v>
      </c>
      <c r="E147" s="4" t="s">
        <v>5</v>
      </c>
      <c r="F147" s="4" t="s">
        <v>6</v>
      </c>
      <c r="G147" s="4" t="s">
        <v>7</v>
      </c>
    </row>
    <row r="148" spans="1:7">
      <c r="A148" s="6" t="s">
        <v>235</v>
      </c>
      <c r="B148" s="18" t="s">
        <v>236</v>
      </c>
      <c r="C148" s="19" t="s">
        <v>237</v>
      </c>
      <c r="D148" s="112" t="s">
        <v>238</v>
      </c>
      <c r="E148" s="113" t="str">
        <f>LEFT($B$148,6)&amp;"_T"&amp;ROW()-ROW($B$148)+1</f>
        <v>M5_P1_T1</v>
      </c>
      <c r="F148" s="114" t="s">
        <v>239</v>
      </c>
      <c r="G148" s="18" t="s">
        <v>240</v>
      </c>
    </row>
    <row r="149" spans="1:7">
      <c r="A149" s="12"/>
      <c r="B149" s="24"/>
      <c r="C149" s="25"/>
      <c r="D149" s="89"/>
      <c r="E149" s="21" t="str">
        <f t="shared" ref="E149:E152" si="26">LEFT($B$148,6)&amp;"_T"&amp;ROW()-ROW($B$148)+1</f>
        <v>M5_P1_T2</v>
      </c>
      <c r="F149" s="115" t="s">
        <v>241</v>
      </c>
      <c r="G149" s="24"/>
    </row>
    <row r="150" spans="1:7">
      <c r="A150" s="12"/>
      <c r="B150" s="24"/>
      <c r="C150" s="25"/>
      <c r="D150" s="89"/>
      <c r="E150" s="21" t="str">
        <f t="shared" si="26"/>
        <v>M5_P1_T3</v>
      </c>
      <c r="F150" s="115" t="s">
        <v>242</v>
      </c>
      <c r="G150" s="24"/>
    </row>
    <row r="151" spans="1:7">
      <c r="A151" s="12"/>
      <c r="B151" s="24"/>
      <c r="C151" s="25"/>
      <c r="D151" s="89"/>
      <c r="E151" s="21" t="str">
        <f t="shared" si="26"/>
        <v>M5_P1_T4</v>
      </c>
      <c r="F151" s="115" t="s">
        <v>243</v>
      </c>
      <c r="G151" s="24"/>
    </row>
    <row r="152" spans="1:7" ht="14.4" thickBot="1">
      <c r="A152" s="12"/>
      <c r="B152" s="61"/>
      <c r="C152" s="104"/>
      <c r="D152" s="116"/>
      <c r="E152" s="111" t="str">
        <f t="shared" si="26"/>
        <v>M5_P1_T5</v>
      </c>
      <c r="F152" s="117" t="s">
        <v>244</v>
      </c>
      <c r="G152" s="61"/>
    </row>
    <row r="153" spans="1:7">
      <c r="A153" s="12"/>
      <c r="B153" s="12" t="s">
        <v>245</v>
      </c>
      <c r="C153" s="13" t="s">
        <v>246</v>
      </c>
      <c r="D153" s="14" t="s">
        <v>247</v>
      </c>
      <c r="E153" s="118" t="str">
        <f>LEFT($B$153,6)&amp;"_T"&amp;ROW()-ROW($B$153)+1</f>
        <v>M5_P2_T1</v>
      </c>
      <c r="F153" s="119" t="s">
        <v>248</v>
      </c>
      <c r="G153" s="12" t="s">
        <v>249</v>
      </c>
    </row>
    <row r="154" spans="1:7">
      <c r="A154" s="12"/>
      <c r="B154" s="12"/>
      <c r="C154" s="13"/>
      <c r="D154" s="14"/>
      <c r="E154" s="65" t="str">
        <f t="shared" ref="E154:E156" si="27">LEFT($B$153,6)&amp;"_T"&amp;ROW()-ROW($B$153)+1</f>
        <v>M5_P2_T2</v>
      </c>
      <c r="F154" s="45" t="s">
        <v>250</v>
      </c>
      <c r="G154" s="12"/>
    </row>
    <row r="155" spans="1:7">
      <c r="A155" s="12"/>
      <c r="B155" s="12"/>
      <c r="C155" s="13"/>
      <c r="D155" s="14"/>
      <c r="E155" s="65" t="str">
        <f t="shared" si="27"/>
        <v>M5_P2_T3</v>
      </c>
      <c r="F155" s="45" t="s">
        <v>251</v>
      </c>
      <c r="G155" s="12"/>
    </row>
    <row r="156" spans="1:7" ht="14.4" thickBot="1">
      <c r="A156" s="12"/>
      <c r="B156" s="52"/>
      <c r="C156" s="85"/>
      <c r="D156" s="86"/>
      <c r="E156" s="65" t="str">
        <f t="shared" si="27"/>
        <v>M5_P2_T4</v>
      </c>
      <c r="F156" s="106" t="s">
        <v>252</v>
      </c>
      <c r="G156" s="52"/>
    </row>
    <row r="157" spans="1:7">
      <c r="A157" s="12"/>
      <c r="B157" s="18" t="s">
        <v>253</v>
      </c>
      <c r="C157" s="19" t="s">
        <v>254</v>
      </c>
      <c r="D157" s="20" t="s">
        <v>255</v>
      </c>
      <c r="E157" s="21" t="str">
        <f>LEFT($B$157,6)&amp;"_T"&amp;ROW()-ROW($B$157)+1</f>
        <v>M5_P3_T1</v>
      </c>
      <c r="F157" s="120" t="s">
        <v>256</v>
      </c>
      <c r="G157" s="18" t="s">
        <v>257</v>
      </c>
    </row>
    <row r="158" spans="1:7" ht="14.4" thickBot="1">
      <c r="A158" s="12"/>
      <c r="B158" s="61"/>
      <c r="C158" s="104"/>
      <c r="D158" s="110"/>
      <c r="E158" s="21" t="str">
        <f>LEFT($B$157,6)&amp;"_T"&amp;ROW()-ROW($B$157)+1</f>
        <v>M5_P3_T2</v>
      </c>
      <c r="F158" s="121" t="s">
        <v>258</v>
      </c>
      <c r="G158" s="61"/>
    </row>
    <row r="159" spans="1:7">
      <c r="A159" s="12"/>
      <c r="B159" s="6" t="s">
        <v>259</v>
      </c>
      <c r="C159" s="7" t="s">
        <v>260</v>
      </c>
      <c r="D159" s="8" t="s">
        <v>261</v>
      </c>
      <c r="E159" s="118" t="str">
        <f>LEFT($B$159,6)&amp;"_T"&amp;ROW()-ROW($B$159)+1</f>
        <v>M5_P4_T1</v>
      </c>
      <c r="F159" s="10" t="s">
        <v>262</v>
      </c>
      <c r="G159" s="6" t="s">
        <v>249</v>
      </c>
    </row>
    <row r="160" spans="1:7">
      <c r="A160" s="12"/>
      <c r="B160" s="12"/>
      <c r="C160" s="13"/>
      <c r="D160" s="14"/>
      <c r="E160" s="118" t="str">
        <f t="shared" ref="E160:E162" si="28">LEFT($B$159,6)&amp;"_T"&amp;ROW()-ROW($B$159)+1</f>
        <v>M5_P4_T2</v>
      </c>
      <c r="F160" s="15" t="s">
        <v>263</v>
      </c>
      <c r="G160" s="12"/>
    </row>
    <row r="161" spans="1:7">
      <c r="A161" s="12"/>
      <c r="B161" s="12"/>
      <c r="C161" s="13"/>
      <c r="D161" s="14"/>
      <c r="E161" s="118" t="str">
        <f t="shared" si="28"/>
        <v>M5_P4_T3</v>
      </c>
      <c r="F161" s="15" t="s">
        <v>264</v>
      </c>
      <c r="G161" s="12"/>
    </row>
    <row r="162" spans="1:7" ht="14.4" thickBot="1">
      <c r="A162" s="12"/>
      <c r="B162" s="52"/>
      <c r="C162" s="85"/>
      <c r="D162" s="86"/>
      <c r="E162" s="118" t="str">
        <f t="shared" si="28"/>
        <v>M5_P4_T4</v>
      </c>
      <c r="F162" s="69" t="s">
        <v>265</v>
      </c>
      <c r="G162" s="52"/>
    </row>
    <row r="163" spans="1:7">
      <c r="A163" s="12"/>
      <c r="B163" s="18" t="s">
        <v>266</v>
      </c>
      <c r="C163" s="19" t="s">
        <v>267</v>
      </c>
      <c r="D163" s="20" t="s">
        <v>268</v>
      </c>
      <c r="E163" s="21" t="str">
        <f>LEFT($B$163,6)&amp;"_T"&amp;ROW()-ROW($B$163)+1</f>
        <v>M5_P5_T1</v>
      </c>
      <c r="F163" s="22" t="s">
        <v>269</v>
      </c>
      <c r="G163" s="122" t="s">
        <v>270</v>
      </c>
    </row>
    <row r="164" spans="1:7">
      <c r="A164" s="12"/>
      <c r="B164" s="24"/>
      <c r="C164" s="25"/>
      <c r="D164" s="26"/>
      <c r="E164" s="21" t="str">
        <f t="shared" ref="E164:E167" si="29">LEFT($B$163,6)&amp;"_T"&amp;ROW()-ROW($B$163)+1</f>
        <v>M5_P5_T2</v>
      </c>
      <c r="F164" s="27" t="s">
        <v>271</v>
      </c>
      <c r="G164" s="123"/>
    </row>
    <row r="165" spans="1:7">
      <c r="A165" s="12"/>
      <c r="B165" s="24"/>
      <c r="C165" s="25"/>
      <c r="D165" s="26"/>
      <c r="E165" s="21" t="str">
        <f t="shared" si="29"/>
        <v>M5_P5_T3</v>
      </c>
      <c r="F165" s="27" t="s">
        <v>272</v>
      </c>
      <c r="G165" s="123"/>
    </row>
    <row r="166" spans="1:7">
      <c r="A166" s="12"/>
      <c r="B166" s="24"/>
      <c r="C166" s="25"/>
      <c r="D166" s="26"/>
      <c r="E166" s="21" t="str">
        <f t="shared" si="29"/>
        <v>M5_P5_T4</v>
      </c>
      <c r="F166" s="27" t="s">
        <v>273</v>
      </c>
      <c r="G166" s="123"/>
    </row>
    <row r="167" spans="1:7" ht="14.4" thickBot="1">
      <c r="A167" s="12"/>
      <c r="B167" s="61"/>
      <c r="C167" s="104"/>
      <c r="D167" s="110"/>
      <c r="E167" s="21" t="str">
        <f t="shared" si="29"/>
        <v>M5_P5_T5</v>
      </c>
      <c r="F167" s="63" t="s">
        <v>274</v>
      </c>
      <c r="G167" s="124"/>
    </row>
    <row r="168" spans="1:7">
      <c r="A168" s="12"/>
      <c r="B168" s="6" t="s">
        <v>275</v>
      </c>
      <c r="C168" s="7" t="s">
        <v>276</v>
      </c>
      <c r="D168" s="8" t="s">
        <v>277</v>
      </c>
      <c r="E168" s="118" t="str">
        <f>LEFT($B$168,6)&amp;"_T"&amp;ROW()-ROW($B$168)+1</f>
        <v>M5_P6_T1</v>
      </c>
      <c r="F168" s="10" t="s">
        <v>278</v>
      </c>
      <c r="G168" s="6" t="s">
        <v>249</v>
      </c>
    </row>
    <row r="169" spans="1:7">
      <c r="A169" s="12"/>
      <c r="B169" s="12"/>
      <c r="C169" s="13"/>
      <c r="D169" s="14"/>
      <c r="E169" s="118" t="str">
        <f t="shared" ref="E169:E171" si="30">LEFT($B$168,6)&amp;"_T"&amp;ROW()-ROW($B$168)+1</f>
        <v>M5_P6_T2</v>
      </c>
      <c r="F169" s="15" t="s">
        <v>279</v>
      </c>
      <c r="G169" s="12"/>
    </row>
    <row r="170" spans="1:7">
      <c r="A170" s="12"/>
      <c r="B170" s="12"/>
      <c r="C170" s="13"/>
      <c r="D170" s="14"/>
      <c r="E170" s="118" t="str">
        <f t="shared" si="30"/>
        <v>M5_P6_T3</v>
      </c>
      <c r="F170" s="15" t="s">
        <v>280</v>
      </c>
      <c r="G170" s="12"/>
    </row>
    <row r="171" spans="1:7" ht="14.4" thickBot="1">
      <c r="A171" s="12"/>
      <c r="B171" s="52"/>
      <c r="C171" s="85"/>
      <c r="D171" s="86"/>
      <c r="E171" s="118" t="str">
        <f t="shared" si="30"/>
        <v>M5_P6_T4</v>
      </c>
      <c r="F171" s="69" t="s">
        <v>281</v>
      </c>
      <c r="G171" s="52"/>
    </row>
    <row r="172" spans="1:7">
      <c r="A172" s="12"/>
      <c r="B172" s="18" t="s">
        <v>282</v>
      </c>
      <c r="C172" s="19" t="s">
        <v>283</v>
      </c>
      <c r="D172" s="20" t="s">
        <v>284</v>
      </c>
      <c r="E172" s="21" t="str">
        <f>LEFT($B$172,6)&amp;"_T"&amp;ROW()-ROW($B$172)+1</f>
        <v>M5_P7_T1</v>
      </c>
      <c r="F172" s="22" t="s">
        <v>285</v>
      </c>
      <c r="G172" s="18" t="s">
        <v>249</v>
      </c>
    </row>
    <row r="173" spans="1:7">
      <c r="A173" s="12"/>
      <c r="B173" s="24"/>
      <c r="C173" s="25"/>
      <c r="D173" s="26"/>
      <c r="E173" s="21" t="str">
        <f t="shared" ref="E173:E175" si="31">LEFT($B$172,6)&amp;"_T"&amp;ROW()-ROW($B$172)+1</f>
        <v>M5_P7_T2</v>
      </c>
      <c r="F173" s="27" t="s">
        <v>286</v>
      </c>
      <c r="G173" s="24"/>
    </row>
    <row r="174" spans="1:7">
      <c r="A174" s="12"/>
      <c r="B174" s="24"/>
      <c r="C174" s="25"/>
      <c r="D174" s="26"/>
      <c r="E174" s="21" t="str">
        <f t="shared" si="31"/>
        <v>M5_P7_T3</v>
      </c>
      <c r="F174" s="27" t="s">
        <v>287</v>
      </c>
      <c r="G174" s="24"/>
    </row>
    <row r="175" spans="1:7" ht="14.4" thickBot="1">
      <c r="A175" s="12"/>
      <c r="B175" s="61"/>
      <c r="C175" s="104"/>
      <c r="D175" s="110"/>
      <c r="E175" s="21" t="str">
        <f t="shared" si="31"/>
        <v>M5_P7_T4</v>
      </c>
      <c r="F175" s="63" t="s">
        <v>288</v>
      </c>
      <c r="G175" s="61"/>
    </row>
    <row r="176" spans="1:7">
      <c r="A176" s="12"/>
      <c r="B176" s="6" t="s">
        <v>289</v>
      </c>
      <c r="C176" s="7" t="s">
        <v>290</v>
      </c>
      <c r="D176" s="8" t="s">
        <v>291</v>
      </c>
      <c r="E176" s="118" t="str">
        <f>LEFT($B$176,6)&amp;"_T"&amp;ROW()-ROW($B$176)+1</f>
        <v>M5_P8_T1</v>
      </c>
      <c r="F176" s="10" t="s">
        <v>292</v>
      </c>
      <c r="G176" s="6" t="s">
        <v>293</v>
      </c>
    </row>
    <row r="177" spans="1:8">
      <c r="A177" s="12"/>
      <c r="B177" s="12"/>
      <c r="C177" s="13"/>
      <c r="D177" s="14"/>
      <c r="E177" s="118" t="str">
        <f t="shared" ref="E177:E179" si="32">LEFT($B$176,6)&amp;"_T"&amp;ROW()-ROW($B$176)+1</f>
        <v>M5_P8_T2</v>
      </c>
      <c r="F177" s="15" t="s">
        <v>294</v>
      </c>
      <c r="G177" s="12"/>
    </row>
    <row r="178" spans="1:8">
      <c r="A178" s="12"/>
      <c r="B178" s="12"/>
      <c r="C178" s="13"/>
      <c r="D178" s="14"/>
      <c r="E178" s="118" t="str">
        <f t="shared" si="32"/>
        <v>M5_P8_T3</v>
      </c>
      <c r="F178" s="15" t="s">
        <v>295</v>
      </c>
      <c r="G178" s="12"/>
    </row>
    <row r="179" spans="1:8" ht="14.4" thickBot="1">
      <c r="A179" s="52"/>
      <c r="B179" s="52"/>
      <c r="C179" s="85"/>
      <c r="D179" s="86"/>
      <c r="E179" s="118" t="str">
        <f t="shared" si="32"/>
        <v>M5_P8_T4</v>
      </c>
      <c r="F179" s="69" t="s">
        <v>296</v>
      </c>
      <c r="G179" s="52"/>
    </row>
    <row r="181" spans="1:8">
      <c r="A181" s="2" t="s">
        <v>297</v>
      </c>
    </row>
    <row r="182" spans="1:8" s="72" customFormat="1"/>
    <row r="184" spans="1:8">
      <c r="A184" s="125" t="s">
        <v>298</v>
      </c>
      <c r="B184" s="73"/>
      <c r="D184" s="2" t="s">
        <v>299</v>
      </c>
    </row>
    <row r="186" spans="1:8" ht="28.2" thickBot="1">
      <c r="A186" s="3" t="s">
        <v>1</v>
      </c>
      <c r="B186" s="4" t="s">
        <v>2</v>
      </c>
      <c r="C186" s="4" t="s">
        <v>3</v>
      </c>
      <c r="D186" s="4" t="s">
        <v>4</v>
      </c>
      <c r="E186" s="4" t="s">
        <v>5</v>
      </c>
      <c r="F186" s="4" t="s">
        <v>6</v>
      </c>
      <c r="G186" s="4" t="s">
        <v>7</v>
      </c>
    </row>
    <row r="187" spans="1:8">
      <c r="A187" s="6" t="s">
        <v>300</v>
      </c>
      <c r="B187" s="126" t="s">
        <v>301</v>
      </c>
      <c r="C187" s="37" t="s">
        <v>302</v>
      </c>
      <c r="D187" s="38" t="s">
        <v>303</v>
      </c>
      <c r="E187" s="113" t="str">
        <f>LEFT($B$187,6)&amp;"_T"&amp;ROW()-ROW($B$187)+1</f>
        <v>M6_P1_T1</v>
      </c>
      <c r="F187" s="22" t="s">
        <v>304</v>
      </c>
      <c r="G187" s="23" t="s">
        <v>305</v>
      </c>
      <c r="H187" s="127"/>
    </row>
    <row r="188" spans="1:8">
      <c r="A188" s="12"/>
      <c r="B188" s="128"/>
      <c r="C188" s="40"/>
      <c r="D188" s="41"/>
      <c r="E188" s="21" t="str">
        <f t="shared" ref="E188:E192" si="33">LEFT($B$187,6)&amp;"_T"&amp;ROW()-ROW($B$187)+1</f>
        <v>M6_P1_T2</v>
      </c>
      <c r="F188" s="27" t="s">
        <v>306</v>
      </c>
      <c r="G188" s="28"/>
      <c r="H188" s="127"/>
    </row>
    <row r="189" spans="1:8">
      <c r="A189" s="12"/>
      <c r="B189" s="128"/>
      <c r="C189" s="40"/>
      <c r="D189" s="41"/>
      <c r="E189" s="21" t="str">
        <f t="shared" si="33"/>
        <v>M6_P1_T3</v>
      </c>
      <c r="F189" s="27" t="s">
        <v>307</v>
      </c>
      <c r="G189" s="28"/>
      <c r="H189" s="127"/>
    </row>
    <row r="190" spans="1:8">
      <c r="A190" s="12"/>
      <c r="B190" s="128"/>
      <c r="C190" s="40"/>
      <c r="D190" s="41"/>
      <c r="E190" s="21" t="str">
        <f t="shared" si="33"/>
        <v>M6_P1_T4</v>
      </c>
      <c r="F190" s="27" t="s">
        <v>308</v>
      </c>
      <c r="G190" s="28"/>
      <c r="H190" s="127"/>
    </row>
    <row r="191" spans="1:8">
      <c r="A191" s="12"/>
      <c r="B191" s="128"/>
      <c r="C191" s="40"/>
      <c r="D191" s="41"/>
      <c r="E191" s="21" t="str">
        <f t="shared" si="33"/>
        <v>M6_P1_T5</v>
      </c>
      <c r="F191" s="27" t="s">
        <v>309</v>
      </c>
      <c r="G191" s="28"/>
      <c r="H191" s="127"/>
    </row>
    <row r="192" spans="1:8" ht="14.4" thickBot="1">
      <c r="A192" s="12"/>
      <c r="B192" s="129"/>
      <c r="C192" s="53"/>
      <c r="D192" s="62"/>
      <c r="E192" s="130" t="str">
        <f t="shared" si="33"/>
        <v>M6_P1_T6</v>
      </c>
      <c r="F192" s="63" t="s">
        <v>310</v>
      </c>
      <c r="G192" s="56"/>
      <c r="H192" s="127"/>
    </row>
    <row r="193" spans="1:8" ht="27.6">
      <c r="A193" s="12"/>
      <c r="B193" s="12" t="s">
        <v>311</v>
      </c>
      <c r="C193" s="12" t="s">
        <v>312</v>
      </c>
      <c r="D193" s="12" t="s">
        <v>313</v>
      </c>
      <c r="E193" s="118" t="str">
        <f>LEFT($B$193,6)&amp;"_T"&amp;ROW()-ROW($B$193)+1</f>
        <v>M6_P2_T1</v>
      </c>
      <c r="F193" s="131" t="s">
        <v>314</v>
      </c>
      <c r="G193" s="132" t="s">
        <v>315</v>
      </c>
      <c r="H193" s="127"/>
    </row>
    <row r="194" spans="1:8" ht="27.6">
      <c r="A194" s="12"/>
      <c r="B194" s="12"/>
      <c r="C194" s="12"/>
      <c r="D194" s="12"/>
      <c r="E194" s="118" t="str">
        <f t="shared" ref="E194:E197" si="34">LEFT($B$193,6)&amp;"_T"&amp;ROW()-ROW($B$193)+1</f>
        <v>M6_P2_T2</v>
      </c>
      <c r="F194" s="133" t="s">
        <v>316</v>
      </c>
      <c r="G194" s="132"/>
      <c r="H194" s="127"/>
    </row>
    <row r="195" spans="1:8">
      <c r="A195" s="12"/>
      <c r="B195" s="12"/>
      <c r="C195" s="12"/>
      <c r="D195" s="12"/>
      <c r="E195" s="118" t="str">
        <f t="shared" si="34"/>
        <v>M6_P2_T3</v>
      </c>
      <c r="F195" s="133" t="s">
        <v>317</v>
      </c>
      <c r="G195" s="132"/>
      <c r="H195" s="127"/>
    </row>
    <row r="196" spans="1:8">
      <c r="A196" s="12"/>
      <c r="B196" s="12"/>
      <c r="C196" s="12"/>
      <c r="D196" s="12"/>
      <c r="E196" s="118" t="str">
        <f t="shared" si="34"/>
        <v>M6_P2_T4</v>
      </c>
      <c r="F196" s="134" t="s">
        <v>318</v>
      </c>
      <c r="G196" s="132"/>
      <c r="H196" s="127"/>
    </row>
    <row r="197" spans="1:8" ht="14.4" thickBot="1">
      <c r="A197" s="12"/>
      <c r="B197" s="12"/>
      <c r="C197" s="12"/>
      <c r="D197" s="12"/>
      <c r="E197" s="118" t="str">
        <f t="shared" si="34"/>
        <v>M6_P2_T5</v>
      </c>
      <c r="F197" s="135" t="s">
        <v>319</v>
      </c>
      <c r="G197" s="132"/>
      <c r="H197" s="127"/>
    </row>
    <row r="198" spans="1:8" ht="27.6">
      <c r="A198" s="12"/>
      <c r="B198" s="18" t="s">
        <v>320</v>
      </c>
      <c r="C198" s="136" t="s">
        <v>321</v>
      </c>
      <c r="D198" s="137" t="s">
        <v>322</v>
      </c>
      <c r="E198" s="113" t="str">
        <f>LEFT($B$198,6)&amp;"_T"&amp;ROW()-ROW($B$198)+1</f>
        <v>M6_P3_T1</v>
      </c>
      <c r="F198" s="120" t="s">
        <v>323</v>
      </c>
      <c r="G198" s="18" t="s">
        <v>324</v>
      </c>
      <c r="H198" s="127"/>
    </row>
    <row r="199" spans="1:8" ht="27.6">
      <c r="A199" s="12"/>
      <c r="B199" s="24"/>
      <c r="C199" s="138"/>
      <c r="D199" s="139"/>
      <c r="E199" s="21" t="str">
        <f t="shared" ref="E199:E202" si="35">LEFT($B$198,6)&amp;"_T"&amp;ROW()-ROW($B$198)+1</f>
        <v>M6_P3_T2</v>
      </c>
      <c r="F199" s="140" t="s">
        <v>325</v>
      </c>
      <c r="G199" s="24"/>
      <c r="H199" s="127"/>
    </row>
    <row r="200" spans="1:8">
      <c r="A200" s="12"/>
      <c r="B200" s="24"/>
      <c r="C200" s="138"/>
      <c r="D200" s="139"/>
      <c r="E200" s="21" t="str">
        <f t="shared" si="35"/>
        <v>M6_P3_T3</v>
      </c>
      <c r="F200" s="140" t="s">
        <v>326</v>
      </c>
      <c r="G200" s="24"/>
      <c r="H200" s="127"/>
    </row>
    <row r="201" spans="1:8">
      <c r="A201" s="12"/>
      <c r="B201" s="24"/>
      <c r="C201" s="138"/>
      <c r="D201" s="139"/>
      <c r="E201" s="21" t="str">
        <f t="shared" si="35"/>
        <v>M6_P3_T4</v>
      </c>
      <c r="F201" s="140" t="s">
        <v>327</v>
      </c>
      <c r="G201" s="24"/>
      <c r="H201" s="127"/>
    </row>
    <row r="202" spans="1:8" ht="14.4" thickBot="1">
      <c r="A202" s="12"/>
      <c r="B202" s="61"/>
      <c r="C202" s="141"/>
      <c r="D202" s="142"/>
      <c r="E202" s="111" t="str">
        <f t="shared" si="35"/>
        <v>M6_P3_T5</v>
      </c>
      <c r="F202" s="121" t="s">
        <v>328</v>
      </c>
      <c r="G202" s="61"/>
      <c r="H202" s="127"/>
    </row>
    <row r="203" spans="1:8">
      <c r="A203" s="12"/>
      <c r="B203" s="12" t="s">
        <v>329</v>
      </c>
      <c r="C203" s="13" t="s">
        <v>330</v>
      </c>
      <c r="D203" s="14" t="s">
        <v>331</v>
      </c>
      <c r="E203" s="118" t="str">
        <f>LEFT($B$203,6)&amp;"_T"&amp;ROW()-ROW($B$203)+1</f>
        <v>M6_P4_T1</v>
      </c>
      <c r="F203" s="143" t="s">
        <v>332</v>
      </c>
      <c r="G203" s="132" t="s">
        <v>333</v>
      </c>
      <c r="H203" s="127"/>
    </row>
    <row r="204" spans="1:8" ht="27.6">
      <c r="A204" s="12"/>
      <c r="B204" s="12"/>
      <c r="C204" s="13"/>
      <c r="D204" s="14"/>
      <c r="E204" s="118" t="str">
        <f t="shared" ref="E204:E207" si="36">LEFT($B$203,6)&amp;"_T"&amp;ROW()-ROW($B$203)+1</f>
        <v>M6_P4_T2</v>
      </c>
      <c r="F204" s="45" t="s">
        <v>334</v>
      </c>
      <c r="G204" s="132"/>
      <c r="H204" s="127"/>
    </row>
    <row r="205" spans="1:8" ht="27.6">
      <c r="A205" s="12"/>
      <c r="B205" s="12"/>
      <c r="C205" s="13"/>
      <c r="D205" s="14"/>
      <c r="E205" s="118" t="str">
        <f t="shared" si="36"/>
        <v>M6_P4_T3</v>
      </c>
      <c r="F205" s="45" t="s">
        <v>335</v>
      </c>
      <c r="G205" s="132"/>
      <c r="H205" s="127"/>
    </row>
    <row r="206" spans="1:8">
      <c r="A206" s="12"/>
      <c r="B206" s="12"/>
      <c r="C206" s="13"/>
      <c r="D206" s="14"/>
      <c r="E206" s="118" t="str">
        <f t="shared" si="36"/>
        <v>M6_P4_T4</v>
      </c>
      <c r="F206" s="45" t="s">
        <v>336</v>
      </c>
      <c r="G206" s="132"/>
      <c r="H206" s="127"/>
    </row>
    <row r="207" spans="1:8" ht="14.4" thickBot="1">
      <c r="A207" s="12"/>
      <c r="B207" s="12"/>
      <c r="C207" s="13"/>
      <c r="D207" s="14"/>
      <c r="E207" s="144" t="str">
        <f t="shared" si="36"/>
        <v>M6_P4_T5</v>
      </c>
      <c r="F207" s="143" t="s">
        <v>337</v>
      </c>
      <c r="G207" s="132"/>
      <c r="H207" s="127"/>
    </row>
    <row r="208" spans="1:8">
      <c r="A208" s="12"/>
      <c r="B208" s="18" t="s">
        <v>338</v>
      </c>
      <c r="C208" s="19" t="s">
        <v>339</v>
      </c>
      <c r="D208" s="20" t="s">
        <v>340</v>
      </c>
      <c r="E208" s="113" t="str">
        <f>LEFT($B$208,6)&amp;"_T"&amp;ROW()-ROW($B$208)+1</f>
        <v>M6_P5_T1</v>
      </c>
      <c r="F208" s="120" t="s">
        <v>341</v>
      </c>
      <c r="G208" s="145" t="s">
        <v>342</v>
      </c>
      <c r="H208" s="127"/>
    </row>
    <row r="209" spans="1:8">
      <c r="A209" s="12"/>
      <c r="B209" s="24"/>
      <c r="C209" s="25"/>
      <c r="D209" s="26"/>
      <c r="E209" s="21" t="str">
        <f>LEFT($B$208,6)&amp;"_T"&amp;ROW()-ROW($B$208)+1</f>
        <v>M6_P5_T2</v>
      </c>
      <c r="F209" s="146" t="s">
        <v>343</v>
      </c>
      <c r="G209" s="147"/>
      <c r="H209" s="127"/>
    </row>
    <row r="210" spans="1:8" ht="28.2" thickBot="1">
      <c r="A210" s="12"/>
      <c r="B210" s="61"/>
      <c r="C210" s="104"/>
      <c r="D210" s="110"/>
      <c r="E210" s="111" t="str">
        <f>LEFT($B$208,6)&amp;"_T"&amp;ROW()-ROW($B$208)+1</f>
        <v>M6_P5_T3</v>
      </c>
      <c r="F210" s="121" t="s">
        <v>344</v>
      </c>
      <c r="G210" s="148"/>
      <c r="H210" s="127"/>
    </row>
    <row r="211" spans="1:8">
      <c r="A211" s="12"/>
      <c r="B211" s="132" t="s">
        <v>345</v>
      </c>
      <c r="C211" s="149" t="s">
        <v>346</v>
      </c>
      <c r="D211" s="150" t="s">
        <v>347</v>
      </c>
      <c r="E211" s="151" t="str">
        <f>LEFT($B$211,6)&amp;"_T"&amp;ROW()-ROW($B$211)+1</f>
        <v>M6_P6_T1</v>
      </c>
      <c r="F211" s="152" t="s">
        <v>348</v>
      </c>
      <c r="G211" s="153" t="s">
        <v>349</v>
      </c>
      <c r="H211" s="127"/>
    </row>
    <row r="212" spans="1:8">
      <c r="A212" s="12"/>
      <c r="B212" s="132"/>
      <c r="C212" s="149"/>
      <c r="D212" s="150"/>
      <c r="E212" s="151" t="str">
        <f t="shared" ref="E212:E214" si="37">LEFT($B$211,6)&amp;"_T"&amp;ROW()-ROW($B$211)+1</f>
        <v>M6_P6_T2</v>
      </c>
      <c r="F212" s="154" t="s">
        <v>350</v>
      </c>
      <c r="G212" s="153" t="s">
        <v>351</v>
      </c>
      <c r="H212" s="127"/>
    </row>
    <row r="213" spans="1:8">
      <c r="A213" s="12"/>
      <c r="B213" s="132"/>
      <c r="C213" s="149"/>
      <c r="D213" s="150"/>
      <c r="E213" s="151" t="str">
        <f t="shared" si="37"/>
        <v>M6_P6_T3</v>
      </c>
      <c r="F213" s="154" t="s">
        <v>352</v>
      </c>
      <c r="G213" s="153" t="s">
        <v>353</v>
      </c>
      <c r="H213" s="127"/>
    </row>
    <row r="214" spans="1:8" ht="14.4" thickBot="1">
      <c r="A214" s="12"/>
      <c r="B214" s="132"/>
      <c r="C214" s="149"/>
      <c r="D214" s="150"/>
      <c r="E214" s="151" t="str">
        <f t="shared" si="37"/>
        <v>M6_P6_T4</v>
      </c>
      <c r="F214" s="154" t="s">
        <v>354</v>
      </c>
      <c r="G214" s="153" t="s">
        <v>355</v>
      </c>
      <c r="H214" s="127"/>
    </row>
    <row r="215" spans="1:8">
      <c r="A215" s="12"/>
      <c r="B215" s="6" t="s">
        <v>356</v>
      </c>
      <c r="C215" s="7" t="s">
        <v>357</v>
      </c>
      <c r="D215" s="8" t="s">
        <v>358</v>
      </c>
      <c r="E215" s="155" t="str">
        <f>LEFT($B$215,6)&amp;"_T"&amp;ROW()-ROW($B$215)+1</f>
        <v>M6_P7_T1</v>
      </c>
      <c r="F215" s="10" t="s">
        <v>359</v>
      </c>
      <c r="G215" s="156" t="s">
        <v>360</v>
      </c>
      <c r="H215" s="127"/>
    </row>
    <row r="216" spans="1:8">
      <c r="A216" s="12"/>
      <c r="B216" s="12"/>
      <c r="C216" s="13"/>
      <c r="D216" s="14"/>
      <c r="E216" s="118" t="str">
        <f t="shared" ref="E216:E218" si="38">LEFT($B$215,6)&amp;"_T"&amp;ROW()-ROW($B$215)+1</f>
        <v>M6_P7_T2</v>
      </c>
      <c r="F216" s="15" t="s">
        <v>361</v>
      </c>
      <c r="G216" s="157"/>
      <c r="H216" s="127"/>
    </row>
    <row r="217" spans="1:8">
      <c r="A217" s="12"/>
      <c r="B217" s="12"/>
      <c r="C217" s="13"/>
      <c r="D217" s="14"/>
      <c r="E217" s="118" t="str">
        <f t="shared" si="38"/>
        <v>M6_P7_T3</v>
      </c>
      <c r="F217" s="154" t="s">
        <v>362</v>
      </c>
      <c r="G217" s="157"/>
      <c r="H217" s="127"/>
    </row>
    <row r="218" spans="1:8" ht="27.6">
      <c r="A218" s="12"/>
      <c r="B218" s="12"/>
      <c r="C218" s="13"/>
      <c r="D218" s="14"/>
      <c r="E218" s="118" t="str">
        <f t="shared" si="38"/>
        <v>M6_P7_T4</v>
      </c>
      <c r="F218" s="15" t="s">
        <v>363</v>
      </c>
      <c r="G218" s="157"/>
      <c r="H218" s="127"/>
    </row>
    <row r="219" spans="1:8" ht="28.2" thickBot="1">
      <c r="A219" s="52"/>
      <c r="B219" s="52"/>
      <c r="C219" s="85"/>
      <c r="D219" s="86"/>
      <c r="E219" s="158" t="str">
        <f>LEFT($B$215,6)&amp;"_T"&amp;ROW()-ROW($B$215)+1</f>
        <v>M6_P7_T5</v>
      </c>
      <c r="F219" s="69" t="s">
        <v>364</v>
      </c>
      <c r="G219" s="159"/>
    </row>
    <row r="220" spans="1:8">
      <c r="A220" s="97"/>
    </row>
    <row r="221" spans="1:8">
      <c r="A221" s="97"/>
    </row>
    <row r="222" spans="1:8">
      <c r="A222" s="97"/>
    </row>
    <row r="223" spans="1:8" s="72" customFormat="1">
      <c r="A223" s="160"/>
      <c r="B223" s="160"/>
      <c r="C223" s="160"/>
      <c r="D223" s="160"/>
      <c r="E223" s="160"/>
      <c r="F223" s="160"/>
    </row>
    <row r="225" spans="1:9">
      <c r="A225" s="1" t="s">
        <v>365</v>
      </c>
      <c r="B225" s="1"/>
    </row>
    <row r="227" spans="1:9" ht="14.4" thickBot="1"/>
    <row r="228" spans="1:9" ht="35.4" thickBot="1">
      <c r="A228" s="161" t="s">
        <v>366</v>
      </c>
      <c r="B228" s="162" t="s">
        <v>2</v>
      </c>
      <c r="C228" s="162" t="s">
        <v>3</v>
      </c>
      <c r="D228" s="162" t="s">
        <v>367</v>
      </c>
      <c r="E228" s="162" t="s">
        <v>368</v>
      </c>
      <c r="F228" s="162" t="s">
        <v>369</v>
      </c>
      <c r="G228" s="162" t="s">
        <v>370</v>
      </c>
      <c r="H228" s="162" t="s">
        <v>371</v>
      </c>
      <c r="I228" s="163" t="s">
        <v>372</v>
      </c>
    </row>
    <row r="229" spans="1:9" s="72" customFormat="1" ht="15">
      <c r="A229" s="164" t="s">
        <v>373</v>
      </c>
      <c r="B229" s="165" t="s">
        <v>374</v>
      </c>
      <c r="C229" s="166" t="s">
        <v>375</v>
      </c>
      <c r="D229" s="167" t="s">
        <v>376</v>
      </c>
      <c r="E229" s="113" t="str">
        <f>LEFT($B$229,6)&amp;"_T"&amp;ROW()-ROW($B$229)+1</f>
        <v>M7_P1_T1</v>
      </c>
      <c r="F229" s="168" t="s">
        <v>377</v>
      </c>
      <c r="G229" s="167" t="s">
        <v>378</v>
      </c>
      <c r="H229" s="169" t="s">
        <v>379</v>
      </c>
      <c r="I229" s="170" t="s">
        <v>380</v>
      </c>
    </row>
    <row r="230" spans="1:9" ht="15">
      <c r="A230" s="171"/>
      <c r="B230" s="172"/>
      <c r="C230" s="173"/>
      <c r="D230" s="174"/>
      <c r="E230" s="21" t="str">
        <f t="shared" ref="E230:E232" si="39">LEFT($B$229,6)&amp;"_T"&amp;ROW()-ROW($B$229)+1</f>
        <v>M7_P1_T2</v>
      </c>
      <c r="F230" s="175" t="s">
        <v>381</v>
      </c>
      <c r="G230" s="174"/>
      <c r="H230" s="176"/>
      <c r="I230" s="177"/>
    </row>
    <row r="231" spans="1:9" ht="15">
      <c r="A231" s="171"/>
      <c r="B231" s="172"/>
      <c r="C231" s="173"/>
      <c r="D231" s="174"/>
      <c r="E231" s="21" t="str">
        <f t="shared" si="39"/>
        <v>M7_P1_T3</v>
      </c>
      <c r="F231" s="175" t="s">
        <v>382</v>
      </c>
      <c r="G231" s="174"/>
      <c r="H231" s="176"/>
      <c r="I231" s="177"/>
    </row>
    <row r="232" spans="1:9" ht="15.6" thickBot="1">
      <c r="A232" s="171"/>
      <c r="B232" s="178"/>
      <c r="C232" s="179"/>
      <c r="D232" s="180"/>
      <c r="E232" s="111" t="str">
        <f t="shared" si="39"/>
        <v>M7_P1_T4</v>
      </c>
      <c r="F232" s="181" t="s">
        <v>383</v>
      </c>
      <c r="G232" s="180"/>
      <c r="H232" s="182"/>
      <c r="I232" s="183"/>
    </row>
    <row r="233" spans="1:9" ht="15">
      <c r="A233" s="171"/>
      <c r="B233" s="172" t="s">
        <v>384</v>
      </c>
      <c r="C233" s="184" t="s">
        <v>385</v>
      </c>
      <c r="D233" s="185" t="s">
        <v>386</v>
      </c>
      <c r="E233" s="155" t="str">
        <f>LEFT($B$233,6)&amp;"_T"&amp;ROW()-ROW($B$233)+1</f>
        <v>M7_P2_T1</v>
      </c>
      <c r="F233" s="169" t="s">
        <v>387</v>
      </c>
      <c r="G233" s="185" t="s">
        <v>388</v>
      </c>
      <c r="H233" s="169" t="s">
        <v>379</v>
      </c>
      <c r="I233" s="170" t="s">
        <v>380</v>
      </c>
    </row>
    <row r="234" spans="1:9" ht="15">
      <c r="A234" s="171"/>
      <c r="B234" s="172"/>
      <c r="C234" s="186"/>
      <c r="D234" s="187"/>
      <c r="E234" s="118" t="str">
        <f t="shared" ref="E234:E238" si="40">LEFT($B$233,6)&amp;"_T"&amp;ROW()-ROW($B$233)+1</f>
        <v>M7_P2_T2</v>
      </c>
      <c r="F234" s="176" t="s">
        <v>389</v>
      </c>
      <c r="G234" s="187"/>
      <c r="H234" s="176"/>
      <c r="I234" s="177"/>
    </row>
    <row r="235" spans="1:9" ht="15">
      <c r="A235" s="171"/>
      <c r="B235" s="172"/>
      <c r="C235" s="186"/>
      <c r="D235" s="187"/>
      <c r="E235" s="118" t="str">
        <f t="shared" si="40"/>
        <v>M7_P2_T3</v>
      </c>
      <c r="F235" s="176" t="s">
        <v>390</v>
      </c>
      <c r="G235" s="187"/>
      <c r="H235" s="176"/>
      <c r="I235" s="177"/>
    </row>
    <row r="236" spans="1:9" ht="15">
      <c r="A236" s="171"/>
      <c r="B236" s="172"/>
      <c r="C236" s="186"/>
      <c r="D236" s="187"/>
      <c r="E236" s="118" t="str">
        <f t="shared" si="40"/>
        <v>M7_P2_T4</v>
      </c>
      <c r="F236" s="176" t="s">
        <v>391</v>
      </c>
      <c r="G236" s="187"/>
      <c r="H236" s="176"/>
      <c r="I236" s="177"/>
    </row>
    <row r="237" spans="1:9" ht="15">
      <c r="A237" s="171"/>
      <c r="B237" s="172"/>
      <c r="C237" s="186"/>
      <c r="D237" s="187"/>
      <c r="E237" s="118" t="str">
        <f t="shared" si="40"/>
        <v>M7_P2_T5</v>
      </c>
      <c r="F237" s="176" t="s">
        <v>392</v>
      </c>
      <c r="G237" s="187"/>
      <c r="H237" s="176"/>
      <c r="I237" s="177"/>
    </row>
    <row r="238" spans="1:9" ht="15.6" thickBot="1">
      <c r="A238" s="171"/>
      <c r="B238" s="178"/>
      <c r="C238" s="188"/>
      <c r="D238" s="189"/>
      <c r="E238" s="158" t="str">
        <f t="shared" si="40"/>
        <v>M7_P2_T6</v>
      </c>
      <c r="F238" s="182" t="s">
        <v>393</v>
      </c>
      <c r="G238" s="189"/>
      <c r="H238" s="182"/>
      <c r="I238" s="183"/>
    </row>
    <row r="239" spans="1:9" ht="15.6" thickBot="1">
      <c r="A239" s="171"/>
      <c r="B239" s="165" t="s">
        <v>394</v>
      </c>
      <c r="C239" s="190" t="s">
        <v>395</v>
      </c>
      <c r="D239" s="191" t="s">
        <v>396</v>
      </c>
      <c r="E239" s="192" t="str">
        <f>LEFT($B$239,6)&amp;"_T"&amp;ROW()-ROW($B$239)+1</f>
        <v>M7_P3_T1</v>
      </c>
      <c r="F239" s="193" t="s">
        <v>397</v>
      </c>
      <c r="G239" s="191" t="s">
        <v>398</v>
      </c>
      <c r="H239" s="194" t="s">
        <v>379</v>
      </c>
      <c r="I239" s="195" t="s">
        <v>380</v>
      </c>
    </row>
    <row r="240" spans="1:9" ht="15.6" thickBot="1">
      <c r="A240" s="171"/>
      <c r="B240" s="172"/>
      <c r="C240" s="196"/>
      <c r="D240" s="174"/>
      <c r="E240" s="111" t="str">
        <f t="shared" ref="E240:E243" si="41">LEFT($B$239,6)&amp;"_T"&amp;ROW()-ROW($B$239)+1</f>
        <v>M7_P3_T2</v>
      </c>
      <c r="F240" s="175" t="s">
        <v>399</v>
      </c>
      <c r="G240" s="174"/>
      <c r="H240" s="176"/>
      <c r="I240" s="177"/>
    </row>
    <row r="241" spans="1:9" ht="15.6" thickBot="1">
      <c r="A241" s="171"/>
      <c r="B241" s="172"/>
      <c r="C241" s="196"/>
      <c r="D241" s="174"/>
      <c r="E241" s="111" t="str">
        <f t="shared" si="41"/>
        <v>M7_P3_T3</v>
      </c>
      <c r="F241" s="175" t="s">
        <v>400</v>
      </c>
      <c r="G241" s="174"/>
      <c r="H241" s="176"/>
      <c r="I241" s="177"/>
    </row>
    <row r="242" spans="1:9" ht="15.6" thickBot="1">
      <c r="A242" s="171"/>
      <c r="B242" s="172"/>
      <c r="C242" s="196"/>
      <c r="D242" s="174"/>
      <c r="E242" s="111" t="str">
        <f t="shared" si="41"/>
        <v>M7_P3_T4</v>
      </c>
      <c r="F242" s="175" t="s">
        <v>401</v>
      </c>
      <c r="G242" s="174"/>
      <c r="H242" s="176"/>
      <c r="I242" s="177"/>
    </row>
    <row r="243" spans="1:9" ht="15.6" thickBot="1">
      <c r="A243" s="171"/>
      <c r="B243" s="178"/>
      <c r="C243" s="197"/>
      <c r="D243" s="180"/>
      <c r="E243" s="111" t="str">
        <f t="shared" si="41"/>
        <v>M7_P3_T5</v>
      </c>
      <c r="F243" s="181" t="s">
        <v>402</v>
      </c>
      <c r="G243" s="180"/>
      <c r="H243" s="182"/>
      <c r="I243" s="183"/>
    </row>
    <row r="244" spans="1:9" ht="15">
      <c r="A244" s="171"/>
      <c r="B244" s="165" t="s">
        <v>403</v>
      </c>
      <c r="C244" s="198" t="s">
        <v>404</v>
      </c>
      <c r="D244" s="199" t="s">
        <v>405</v>
      </c>
      <c r="E244" s="151" t="str">
        <f>LEFT($B$244,6)&amp;"_T"&amp;ROW()-ROW($B$244)+1</f>
        <v>M7_P4_T1</v>
      </c>
      <c r="F244" s="194" t="s">
        <v>406</v>
      </c>
      <c r="G244" s="199" t="s">
        <v>407</v>
      </c>
      <c r="H244" s="194" t="s">
        <v>379</v>
      </c>
      <c r="I244" s="195" t="s">
        <v>380</v>
      </c>
    </row>
    <row r="245" spans="1:9" ht="15">
      <c r="A245" s="171"/>
      <c r="B245" s="172"/>
      <c r="C245" s="200"/>
      <c r="D245" s="187"/>
      <c r="E245" s="151" t="str">
        <f t="shared" ref="E245:E252" si="42">LEFT($B$244,6)&amp;"_T"&amp;ROW()-ROW($B$244)+1</f>
        <v>M7_P4_T2</v>
      </c>
      <c r="F245" s="176" t="s">
        <v>408</v>
      </c>
      <c r="G245" s="187"/>
      <c r="H245" s="176"/>
      <c r="I245" s="177"/>
    </row>
    <row r="246" spans="1:9" ht="15">
      <c r="A246" s="171"/>
      <c r="B246" s="172"/>
      <c r="C246" s="200"/>
      <c r="D246" s="187"/>
      <c r="E246" s="151" t="str">
        <f t="shared" si="42"/>
        <v>M7_P4_T3</v>
      </c>
      <c r="F246" s="176" t="s">
        <v>409</v>
      </c>
      <c r="G246" s="187"/>
      <c r="H246" s="176"/>
      <c r="I246" s="177"/>
    </row>
    <row r="247" spans="1:9" ht="15">
      <c r="A247" s="171"/>
      <c r="B247" s="172"/>
      <c r="C247" s="200"/>
      <c r="D247" s="187"/>
      <c r="E247" s="151" t="str">
        <f t="shared" si="42"/>
        <v>M7_P4_T4</v>
      </c>
      <c r="F247" s="176" t="s">
        <v>410</v>
      </c>
      <c r="G247" s="187"/>
      <c r="H247" s="176"/>
      <c r="I247" s="177"/>
    </row>
    <row r="248" spans="1:9" ht="15">
      <c r="A248" s="171"/>
      <c r="B248" s="172"/>
      <c r="C248" s="200"/>
      <c r="D248" s="187"/>
      <c r="E248" s="151" t="str">
        <f t="shared" si="42"/>
        <v>M7_P4_T5</v>
      </c>
      <c r="F248" s="176" t="s">
        <v>411</v>
      </c>
      <c r="G248" s="187"/>
      <c r="H248" s="176"/>
      <c r="I248" s="177"/>
    </row>
    <row r="249" spans="1:9" ht="15">
      <c r="A249" s="171"/>
      <c r="B249" s="172"/>
      <c r="C249" s="200"/>
      <c r="D249" s="187"/>
      <c r="E249" s="151" t="str">
        <f t="shared" si="42"/>
        <v>M7_P4_T6</v>
      </c>
      <c r="F249" s="176" t="s">
        <v>412</v>
      </c>
      <c r="G249" s="187"/>
      <c r="H249" s="176"/>
      <c r="I249" s="177"/>
    </row>
    <row r="250" spans="1:9" ht="15">
      <c r="A250" s="171"/>
      <c r="B250" s="172"/>
      <c r="C250" s="200"/>
      <c r="D250" s="187"/>
      <c r="E250" s="151" t="str">
        <f t="shared" si="42"/>
        <v>M7_P4_T7</v>
      </c>
      <c r="F250" s="176" t="s">
        <v>413</v>
      </c>
      <c r="G250" s="187"/>
      <c r="H250" s="176"/>
      <c r="I250" s="177"/>
    </row>
    <row r="251" spans="1:9" ht="15">
      <c r="A251" s="171"/>
      <c r="B251" s="172"/>
      <c r="C251" s="201"/>
      <c r="D251" s="202"/>
      <c r="E251" s="151" t="str">
        <f t="shared" si="42"/>
        <v>M7_P4_T8</v>
      </c>
      <c r="F251" s="203" t="s">
        <v>414</v>
      </c>
      <c r="G251" s="202"/>
      <c r="H251" s="204"/>
      <c r="I251" s="205"/>
    </row>
    <row r="252" spans="1:9" ht="15.6" thickBot="1">
      <c r="A252" s="171"/>
      <c r="B252" s="172"/>
      <c r="C252" s="201"/>
      <c r="D252" s="202"/>
      <c r="E252" s="206" t="str">
        <f t="shared" si="42"/>
        <v>M7_P4_T9</v>
      </c>
      <c r="F252" s="204" t="s">
        <v>415</v>
      </c>
      <c r="G252" s="202"/>
      <c r="H252" s="204"/>
      <c r="I252" s="205"/>
    </row>
    <row r="253" spans="1:9" ht="15">
      <c r="A253" s="171"/>
      <c r="B253" s="165" t="s">
        <v>416</v>
      </c>
      <c r="C253" s="184" t="s">
        <v>417</v>
      </c>
      <c r="D253" s="185" t="s">
        <v>418</v>
      </c>
      <c r="E253" s="155" t="str">
        <f>LEFT($B$253,6)&amp;"_T"&amp;ROW()-ROW($B$253)+1</f>
        <v>M7_P5_T1</v>
      </c>
      <c r="F253" s="169" t="s">
        <v>419</v>
      </c>
      <c r="G253" s="185" t="s">
        <v>407</v>
      </c>
      <c r="H253" s="169" t="s">
        <v>420</v>
      </c>
      <c r="I253" s="170" t="s">
        <v>380</v>
      </c>
    </row>
    <row r="254" spans="1:9" ht="15">
      <c r="A254" s="171"/>
      <c r="B254" s="172"/>
      <c r="C254" s="186"/>
      <c r="D254" s="187"/>
      <c r="E254" s="118" t="str">
        <f t="shared" ref="E254:E256" si="43">LEFT($B$253,6)&amp;"_T"&amp;ROW()-ROW($B$253)+1</f>
        <v>M7_P5_T2</v>
      </c>
      <c r="F254" s="176" t="s">
        <v>421</v>
      </c>
      <c r="G254" s="187"/>
      <c r="H254" s="176"/>
      <c r="I254" s="177"/>
    </row>
    <row r="255" spans="1:9" ht="15">
      <c r="A255" s="171"/>
      <c r="B255" s="172"/>
      <c r="C255" s="186"/>
      <c r="D255" s="187"/>
      <c r="E255" s="118" t="str">
        <f t="shared" si="43"/>
        <v>M7_P5_T3</v>
      </c>
      <c r="F255" s="176" t="s">
        <v>422</v>
      </c>
      <c r="G255" s="187"/>
      <c r="H255" s="176"/>
      <c r="I255" s="177"/>
    </row>
    <row r="256" spans="1:9" ht="15.6" thickBot="1">
      <c r="A256" s="171"/>
      <c r="B256" s="178"/>
      <c r="C256" s="188"/>
      <c r="D256" s="189"/>
      <c r="E256" s="158" t="str">
        <f t="shared" si="43"/>
        <v>M7_P5_T4</v>
      </c>
      <c r="F256" s="182" t="s">
        <v>423</v>
      </c>
      <c r="G256" s="189"/>
      <c r="H256" s="182"/>
      <c r="I256" s="183"/>
    </row>
    <row r="257" spans="1:12" ht="15">
      <c r="A257" s="171"/>
      <c r="B257" s="172" t="s">
        <v>424</v>
      </c>
      <c r="C257" s="207" t="s">
        <v>129</v>
      </c>
      <c r="D257" s="191" t="s">
        <v>425</v>
      </c>
      <c r="E257" s="208" t="str">
        <f>LEFT($B$257,6)&amp;"_T"&amp;ROW()-ROW($B$257)+1</f>
        <v>M7_P6_T1</v>
      </c>
      <c r="F257" s="193" t="s">
        <v>426</v>
      </c>
      <c r="G257" s="191" t="s">
        <v>132</v>
      </c>
      <c r="H257" s="194" t="s">
        <v>427</v>
      </c>
      <c r="I257" s="195" t="s">
        <v>380</v>
      </c>
    </row>
    <row r="258" spans="1:12" ht="15">
      <c r="A258" s="171"/>
      <c r="B258" s="172"/>
      <c r="C258" s="209"/>
      <c r="D258" s="174"/>
      <c r="E258" s="208" t="str">
        <f t="shared" ref="E258:E261" si="44">LEFT($B$257,6)&amp;"_T"&amp;ROW()-ROW($B$257)+1</f>
        <v>M7_P6_T2</v>
      </c>
      <c r="F258" s="175" t="s">
        <v>428</v>
      </c>
      <c r="G258" s="174"/>
      <c r="H258" s="176"/>
      <c r="I258" s="177"/>
    </row>
    <row r="259" spans="1:12" ht="15">
      <c r="A259" s="171"/>
      <c r="B259" s="172"/>
      <c r="C259" s="209"/>
      <c r="D259" s="174"/>
      <c r="E259" s="208" t="str">
        <f t="shared" si="44"/>
        <v>M7_P6_T3</v>
      </c>
      <c r="F259" s="175" t="s">
        <v>429</v>
      </c>
      <c r="G259" s="174"/>
      <c r="H259" s="176"/>
      <c r="I259" s="177"/>
    </row>
    <row r="260" spans="1:12" s="72" customFormat="1" ht="15">
      <c r="A260" s="171"/>
      <c r="B260" s="172"/>
      <c r="C260" s="209"/>
      <c r="D260" s="174"/>
      <c r="E260" s="208" t="str">
        <f t="shared" si="44"/>
        <v>M7_P6_T4</v>
      </c>
      <c r="F260" s="175" t="s">
        <v>136</v>
      </c>
      <c r="G260" s="174"/>
      <c r="H260" s="176"/>
      <c r="I260" s="177"/>
    </row>
    <row r="261" spans="1:12" ht="25.2" customHeight="1" thickBot="1">
      <c r="A261" s="210"/>
      <c r="B261" s="178"/>
      <c r="C261" s="211"/>
      <c r="D261" s="180"/>
      <c r="E261" s="208" t="str">
        <f t="shared" si="44"/>
        <v>M7_P6_T5</v>
      </c>
      <c r="F261" s="181" t="s">
        <v>430</v>
      </c>
      <c r="G261" s="180"/>
      <c r="H261" s="182"/>
      <c r="I261" s="183"/>
    </row>
    <row r="263" spans="1:12">
      <c r="A263" s="160"/>
      <c r="B263" s="160"/>
      <c r="C263" s="160"/>
      <c r="D263" s="160"/>
      <c r="E263" s="160"/>
      <c r="F263" s="160"/>
      <c r="G263" s="72"/>
      <c r="H263" s="72"/>
      <c r="I263" s="72"/>
      <c r="J263" s="72"/>
      <c r="K263" s="72"/>
      <c r="L263" s="72"/>
    </row>
    <row r="265" spans="1:12">
      <c r="A265" s="1" t="s">
        <v>431</v>
      </c>
    </row>
    <row r="268" spans="1:12" ht="28.2" thickBot="1">
      <c r="A268" s="3" t="s">
        <v>1</v>
      </c>
      <c r="B268" s="4" t="s">
        <v>2</v>
      </c>
      <c r="C268" s="4" t="s">
        <v>3</v>
      </c>
      <c r="D268" s="4" t="s">
        <v>4</v>
      </c>
      <c r="E268" s="4" t="s">
        <v>5</v>
      </c>
      <c r="F268" s="4" t="s">
        <v>6</v>
      </c>
      <c r="G268" s="4" t="s">
        <v>7</v>
      </c>
    </row>
    <row r="269" spans="1:12">
      <c r="A269" s="6" t="s">
        <v>432</v>
      </c>
      <c r="B269" s="19" t="s">
        <v>433</v>
      </c>
      <c r="C269" s="99" t="s">
        <v>434</v>
      </c>
      <c r="D269" s="20" t="s">
        <v>435</v>
      </c>
      <c r="E269" s="21" t="str">
        <f>LEFT($B$269,6)&amp;"_T"&amp;ROW()-ROW($B$269)+1</f>
        <v>M8_P1_T1</v>
      </c>
      <c r="F269" s="22" t="s">
        <v>436</v>
      </c>
      <c r="G269" s="23" t="s">
        <v>437</v>
      </c>
    </row>
    <row r="270" spans="1:12">
      <c r="A270" s="12"/>
      <c r="B270" s="25"/>
      <c r="C270" s="100"/>
      <c r="D270" s="26"/>
      <c r="E270" s="21" t="str">
        <f t="shared" ref="E270:E272" si="45">LEFT($B$269,6)&amp;"_T"&amp;ROW()-ROW($B$269)+1</f>
        <v>M8_P1_T2</v>
      </c>
      <c r="F270" s="27" t="s">
        <v>438</v>
      </c>
      <c r="G270" s="28"/>
    </row>
    <row r="271" spans="1:12">
      <c r="A271" s="12"/>
      <c r="B271" s="25"/>
      <c r="C271" s="100"/>
      <c r="D271" s="26"/>
      <c r="E271" s="21" t="str">
        <f t="shared" si="45"/>
        <v>M8_P1_T3</v>
      </c>
      <c r="F271" s="27" t="s">
        <v>439</v>
      </c>
      <c r="G271" s="28"/>
    </row>
    <row r="272" spans="1:12" ht="14.4" thickBot="1">
      <c r="A272" s="12"/>
      <c r="B272" s="104"/>
      <c r="C272" s="109"/>
      <c r="D272" s="110"/>
      <c r="E272" s="21" t="str">
        <f t="shared" si="45"/>
        <v>M8_P1_T4</v>
      </c>
      <c r="F272" s="63" t="s">
        <v>440</v>
      </c>
      <c r="G272" s="56"/>
    </row>
    <row r="273" spans="1:12">
      <c r="A273" s="12"/>
      <c r="B273" s="7" t="s">
        <v>441</v>
      </c>
      <c r="C273" s="101" t="s">
        <v>442</v>
      </c>
      <c r="D273" s="8" t="s">
        <v>443</v>
      </c>
      <c r="E273" s="151" t="str">
        <f>LEFT($B$273,6)&amp;"_T"&amp;ROW()-ROW($B$273)+1</f>
        <v>M8_P2_T1</v>
      </c>
      <c r="F273" s="10" t="s">
        <v>444</v>
      </c>
      <c r="G273" s="11" t="s">
        <v>437</v>
      </c>
    </row>
    <row r="274" spans="1:12">
      <c r="A274" s="12"/>
      <c r="B274" s="13"/>
      <c r="C274" s="102"/>
      <c r="D274" s="14"/>
      <c r="E274" s="151" t="str">
        <f t="shared" ref="E274:E276" si="46">LEFT($B$273,6)&amp;"_T"&amp;ROW()-ROW($B$273)+1</f>
        <v>M8_P2_T2</v>
      </c>
      <c r="F274" s="15" t="s">
        <v>445</v>
      </c>
      <c r="G274" s="16"/>
    </row>
    <row r="275" spans="1:12">
      <c r="A275" s="12"/>
      <c r="B275" s="13"/>
      <c r="C275" s="102"/>
      <c r="D275" s="14"/>
      <c r="E275" s="151" t="str">
        <f t="shared" si="46"/>
        <v>M8_P2_T3</v>
      </c>
      <c r="F275" s="15" t="s">
        <v>446</v>
      </c>
      <c r="G275" s="16"/>
    </row>
    <row r="276" spans="1:12" ht="14.4" thickBot="1">
      <c r="A276" s="12"/>
      <c r="B276" s="85"/>
      <c r="C276" s="103"/>
      <c r="D276" s="86"/>
      <c r="E276" s="151" t="str">
        <f t="shared" si="46"/>
        <v>M8_P2_T4</v>
      </c>
      <c r="F276" s="69" t="s">
        <v>447</v>
      </c>
      <c r="G276" s="70"/>
    </row>
    <row r="277" spans="1:12">
      <c r="A277" s="12"/>
      <c r="B277" s="19" t="s">
        <v>448</v>
      </c>
      <c r="C277" s="99" t="s">
        <v>449</v>
      </c>
      <c r="D277" s="20" t="s">
        <v>450</v>
      </c>
      <c r="E277" s="208" t="str">
        <f>LEFT($B$277,6)&amp;"_T"&amp;ROW()-ROW($B$277)+1</f>
        <v>M8_P3_T1</v>
      </c>
      <c r="F277" s="22" t="s">
        <v>451</v>
      </c>
      <c r="G277" s="23" t="s">
        <v>452</v>
      </c>
    </row>
    <row r="278" spans="1:12">
      <c r="A278" s="12"/>
      <c r="B278" s="25"/>
      <c r="C278" s="100"/>
      <c r="D278" s="26"/>
      <c r="E278" s="208" t="str">
        <f t="shared" ref="E278:E280" si="47">LEFT($B$277,6)&amp;"_T"&amp;ROW()-ROW($B$277)+1</f>
        <v>M8_P3_T2</v>
      </c>
      <c r="F278" s="27" t="s">
        <v>453</v>
      </c>
      <c r="G278" s="28"/>
    </row>
    <row r="279" spans="1:12">
      <c r="A279" s="12"/>
      <c r="B279" s="25"/>
      <c r="C279" s="100"/>
      <c r="D279" s="26"/>
      <c r="E279" s="208" t="str">
        <f t="shared" si="47"/>
        <v>M8_P3_T3</v>
      </c>
      <c r="F279" s="27" t="s">
        <v>454</v>
      </c>
      <c r="G279" s="28"/>
    </row>
    <row r="280" spans="1:12" ht="14.4" thickBot="1">
      <c r="A280" s="12"/>
      <c r="B280" s="25"/>
      <c r="C280" s="100"/>
      <c r="D280" s="26"/>
      <c r="E280" s="105" t="str">
        <f t="shared" si="47"/>
        <v>M8_P3_T4</v>
      </c>
      <c r="F280" s="30" t="s">
        <v>455</v>
      </c>
      <c r="G280" s="28"/>
    </row>
    <row r="281" spans="1:12">
      <c r="A281" s="12"/>
      <c r="B281" s="19" t="s">
        <v>456</v>
      </c>
      <c r="C281" s="101" t="s">
        <v>457</v>
      </c>
      <c r="D281" s="8" t="s">
        <v>458</v>
      </c>
      <c r="E281" s="64" t="str">
        <f>LEFT($B$281,6)&amp;"_T"&amp;ROW()-ROW($B$281)+1</f>
        <v>M8_P4_T1</v>
      </c>
      <c r="F281" s="10" t="s">
        <v>459</v>
      </c>
      <c r="G281" s="11" t="s">
        <v>437</v>
      </c>
    </row>
    <row r="282" spans="1:12">
      <c r="A282" s="12"/>
      <c r="B282" s="25"/>
      <c r="C282" s="102"/>
      <c r="D282" s="14"/>
      <c r="E282" s="151" t="str">
        <f t="shared" ref="E282:E284" si="48">LEFT($B$281,6)&amp;"_T"&amp;ROW()-ROW($B$281)+1</f>
        <v>M8_P4_T2</v>
      </c>
      <c r="F282" s="15" t="s">
        <v>460</v>
      </c>
      <c r="G282" s="16"/>
    </row>
    <row r="283" spans="1:12">
      <c r="A283" s="12"/>
      <c r="B283" s="25"/>
      <c r="C283" s="102"/>
      <c r="D283" s="14"/>
      <c r="E283" s="151" t="str">
        <f t="shared" si="48"/>
        <v>M8_P4_T3</v>
      </c>
      <c r="F283" s="15" t="s">
        <v>461</v>
      </c>
      <c r="G283" s="16"/>
    </row>
    <row r="284" spans="1:12" ht="14.4" thickBot="1">
      <c r="A284" s="12"/>
      <c r="B284" s="104"/>
      <c r="C284" s="103"/>
      <c r="D284" s="86"/>
      <c r="E284" s="212" t="str">
        <f t="shared" si="48"/>
        <v>M8_P4_T4</v>
      </c>
      <c r="F284" s="69" t="s">
        <v>462</v>
      </c>
      <c r="G284" s="70"/>
    </row>
    <row r="285" spans="1:12">
      <c r="A285" s="12"/>
      <c r="B285" s="13" t="s">
        <v>463</v>
      </c>
      <c r="C285" s="100" t="s">
        <v>464</v>
      </c>
      <c r="D285" s="26" t="s">
        <v>465</v>
      </c>
      <c r="E285" s="208" t="str">
        <f>LEFT($B$285,6)&amp;"_T"&amp;ROW()-ROW($B$285)+1</f>
        <v>M8_P5_T1</v>
      </c>
      <c r="F285" s="71" t="s">
        <v>466</v>
      </c>
      <c r="G285" s="28" t="s">
        <v>437</v>
      </c>
    </row>
    <row r="286" spans="1:12">
      <c r="A286" s="12"/>
      <c r="B286" s="13"/>
      <c r="C286" s="100"/>
      <c r="D286" s="26"/>
      <c r="E286" s="208" t="str">
        <f t="shared" ref="E286:E288" si="49">LEFT($B$285,6)&amp;"_T"&amp;ROW()-ROW($B$285)+1</f>
        <v>M8_P5_T2</v>
      </c>
      <c r="F286" s="27" t="s">
        <v>467</v>
      </c>
      <c r="G286" s="28"/>
    </row>
    <row r="287" spans="1:12">
      <c r="A287" s="12"/>
      <c r="B287" s="13"/>
      <c r="C287" s="100"/>
      <c r="D287" s="26"/>
      <c r="E287" s="208" t="str">
        <f t="shared" si="49"/>
        <v>M8_P5_T3</v>
      </c>
      <c r="F287" s="27" t="s">
        <v>468</v>
      </c>
      <c r="G287" s="28"/>
    </row>
    <row r="288" spans="1:12" s="72" customFormat="1" ht="14.4" thickBot="1">
      <c r="A288" s="12"/>
      <c r="B288" s="85"/>
      <c r="C288" s="109"/>
      <c r="D288" s="110"/>
      <c r="E288" s="208" t="str">
        <f t="shared" si="49"/>
        <v>M8_P5_T4</v>
      </c>
      <c r="F288" s="63" t="s">
        <v>469</v>
      </c>
      <c r="G288" s="56"/>
      <c r="H288" s="2"/>
      <c r="I288" s="2"/>
      <c r="J288" s="2"/>
      <c r="K288" s="2"/>
      <c r="L288" s="2"/>
    </row>
    <row r="289" spans="1:12">
      <c r="A289" s="12"/>
      <c r="B289" s="19" t="s">
        <v>470</v>
      </c>
      <c r="C289" s="101" t="s">
        <v>471</v>
      </c>
      <c r="D289" s="8" t="s">
        <v>472</v>
      </c>
      <c r="E289" s="151" t="str">
        <f>LEFT($B$289,6)&amp;"_T"&amp;ROW()-ROW($B$289)+1</f>
        <v>M8_P6_T1</v>
      </c>
      <c r="F289" s="10" t="s">
        <v>473</v>
      </c>
      <c r="G289" s="11" t="s">
        <v>474</v>
      </c>
    </row>
    <row r="290" spans="1:12">
      <c r="A290" s="12"/>
      <c r="B290" s="25"/>
      <c r="C290" s="102"/>
      <c r="D290" s="14"/>
      <c r="E290" s="151" t="str">
        <f t="shared" ref="E290:E292" si="50">LEFT($B$289,6)&amp;"_T"&amp;ROW()-ROW($B$289)+1</f>
        <v>M8_P6_T2</v>
      </c>
      <c r="F290" s="15" t="s">
        <v>475</v>
      </c>
      <c r="G290" s="16"/>
    </row>
    <row r="291" spans="1:12">
      <c r="A291" s="12"/>
      <c r="B291" s="25"/>
      <c r="C291" s="102"/>
      <c r="D291" s="14"/>
      <c r="E291" s="151" t="str">
        <f t="shared" si="50"/>
        <v>M8_P6_T3</v>
      </c>
      <c r="F291" s="15" t="s">
        <v>476</v>
      </c>
      <c r="G291" s="16"/>
    </row>
    <row r="292" spans="1:12" ht="14.4" thickBot="1">
      <c r="A292" s="52"/>
      <c r="B292" s="104"/>
      <c r="C292" s="103"/>
      <c r="D292" s="86"/>
      <c r="E292" s="151" t="str">
        <f t="shared" si="50"/>
        <v>M8_P6_T4</v>
      </c>
      <c r="F292" s="69" t="s">
        <v>477</v>
      </c>
      <c r="G292" s="70"/>
    </row>
    <row r="294" spans="1:12">
      <c r="A294" s="72"/>
      <c r="B294" s="72"/>
      <c r="C294" s="72"/>
      <c r="D294" s="72"/>
      <c r="E294" s="72"/>
      <c r="F294" s="72"/>
      <c r="G294" s="72"/>
      <c r="H294" s="72"/>
      <c r="I294" s="72"/>
      <c r="J294" s="72"/>
      <c r="K294" s="72"/>
      <c r="L294" s="72"/>
    </row>
    <row r="297" spans="1:12">
      <c r="A297" s="1" t="s">
        <v>478</v>
      </c>
    </row>
    <row r="300" spans="1:12" ht="28.2" thickBot="1">
      <c r="A300" s="3" t="s">
        <v>1</v>
      </c>
      <c r="B300" s="4" t="s">
        <v>2</v>
      </c>
      <c r="C300" s="4" t="s">
        <v>3</v>
      </c>
      <c r="D300" s="4" t="s">
        <v>4</v>
      </c>
      <c r="E300" s="3" t="s">
        <v>5</v>
      </c>
      <c r="F300" s="4" t="s">
        <v>6</v>
      </c>
      <c r="G300" s="4" t="s">
        <v>7</v>
      </c>
    </row>
    <row r="301" spans="1:12">
      <c r="A301" s="94" t="s">
        <v>479</v>
      </c>
      <c r="B301" s="18" t="s">
        <v>480</v>
      </c>
      <c r="C301" s="19" t="s">
        <v>481</v>
      </c>
      <c r="D301" s="20" t="s">
        <v>482</v>
      </c>
      <c r="E301" s="208" t="str">
        <f>LEFT($B$301,6)&amp;"_T"&amp;ROW()-ROW($B$301)+1</f>
        <v>M9_P1_T1</v>
      </c>
      <c r="F301" s="213" t="s">
        <v>483</v>
      </c>
      <c r="G301" s="18" t="s">
        <v>484</v>
      </c>
    </row>
    <row r="302" spans="1:12">
      <c r="A302" s="95"/>
      <c r="B302" s="24"/>
      <c r="C302" s="25"/>
      <c r="D302" s="26"/>
      <c r="E302" s="214"/>
      <c r="F302" s="215" t="s">
        <v>485</v>
      </c>
      <c r="G302" s="24"/>
    </row>
    <row r="303" spans="1:12">
      <c r="A303" s="95"/>
      <c r="B303" s="24"/>
      <c r="C303" s="25"/>
      <c r="D303" s="26"/>
      <c r="E303" s="214"/>
      <c r="F303" s="215" t="s">
        <v>486</v>
      </c>
      <c r="G303" s="24"/>
    </row>
    <row r="304" spans="1:12" ht="14.4" thickBot="1">
      <c r="A304" s="95"/>
      <c r="B304" s="61"/>
      <c r="C304" s="104"/>
      <c r="D304" s="110"/>
      <c r="E304" s="216"/>
      <c r="F304" s="217" t="s">
        <v>487</v>
      </c>
      <c r="G304" s="61"/>
    </row>
    <row r="305" spans="1:7">
      <c r="A305" s="95"/>
      <c r="B305" s="6" t="s">
        <v>488</v>
      </c>
      <c r="C305" s="7" t="s">
        <v>489</v>
      </c>
      <c r="D305" s="8" t="s">
        <v>490</v>
      </c>
      <c r="E305" s="151" t="str">
        <f>LEFT($B$305,6)&amp;"_T"&amp;ROW()-ROW($B$305)+1</f>
        <v>M9_P2_T1</v>
      </c>
      <c r="F305" s="10" t="s">
        <v>491</v>
      </c>
      <c r="G305" s="33" t="s">
        <v>484</v>
      </c>
    </row>
    <row r="306" spans="1:7">
      <c r="A306" s="95"/>
      <c r="B306" s="12"/>
      <c r="C306" s="13"/>
      <c r="D306" s="14"/>
      <c r="E306" s="151" t="str">
        <f t="shared" ref="E306:E308" si="51">LEFT($B$305,6)&amp;"_T"&amp;ROW()-ROW($B$305)+1</f>
        <v>M9_P2_T2</v>
      </c>
      <c r="F306" s="15" t="s">
        <v>492</v>
      </c>
      <c r="G306" s="36"/>
    </row>
    <row r="307" spans="1:7">
      <c r="A307" s="95"/>
      <c r="B307" s="12"/>
      <c r="C307" s="13"/>
      <c r="D307" s="14"/>
      <c r="E307" s="151" t="str">
        <f t="shared" si="51"/>
        <v>M9_P2_T3</v>
      </c>
      <c r="F307" s="15" t="s">
        <v>493</v>
      </c>
      <c r="G307" s="36"/>
    </row>
    <row r="308" spans="1:7" ht="14.4" thickBot="1">
      <c r="A308" s="95"/>
      <c r="B308" s="52"/>
      <c r="C308" s="85"/>
      <c r="D308" s="86"/>
      <c r="E308" s="151" t="str">
        <f t="shared" si="51"/>
        <v>M9_P2_T4</v>
      </c>
      <c r="F308" s="69" t="s">
        <v>494</v>
      </c>
      <c r="G308" s="218"/>
    </row>
    <row r="309" spans="1:7">
      <c r="A309" s="95"/>
      <c r="B309" s="18" t="s">
        <v>495</v>
      </c>
      <c r="C309" s="19" t="s">
        <v>496</v>
      </c>
      <c r="D309" s="20" t="s">
        <v>497</v>
      </c>
      <c r="E309" s="208" t="str">
        <f>LEFT($B$309,6)&amp;"_T"&amp;ROW()-ROW($B$309)+1</f>
        <v>M9_P3_T1</v>
      </c>
      <c r="F309" s="22" t="s">
        <v>498</v>
      </c>
      <c r="G309" s="39" t="s">
        <v>499</v>
      </c>
    </row>
    <row r="310" spans="1:7">
      <c r="A310" s="95"/>
      <c r="B310" s="24"/>
      <c r="C310" s="25"/>
      <c r="D310" s="26"/>
      <c r="E310" s="208" t="str">
        <f t="shared" ref="E310:E312" si="52">LEFT($B$309,6)&amp;"_T"&amp;ROW()-ROW($B$309)+1</f>
        <v>M9_P3_T2</v>
      </c>
      <c r="F310" s="27" t="s">
        <v>500</v>
      </c>
      <c r="G310" s="42"/>
    </row>
    <row r="311" spans="1:7">
      <c r="A311" s="95"/>
      <c r="B311" s="24"/>
      <c r="C311" s="25"/>
      <c r="D311" s="26"/>
      <c r="E311" s="208" t="str">
        <f t="shared" si="52"/>
        <v>M9_P3_T3</v>
      </c>
      <c r="F311" s="27" t="s">
        <v>501</v>
      </c>
      <c r="G311" s="42"/>
    </row>
    <row r="312" spans="1:7" ht="14.4" thickBot="1">
      <c r="A312" s="95"/>
      <c r="B312" s="61"/>
      <c r="C312" s="104"/>
      <c r="D312" s="110"/>
      <c r="E312" s="208" t="str">
        <f t="shared" si="52"/>
        <v>M9_P3_T4</v>
      </c>
      <c r="F312" s="63" t="s">
        <v>502</v>
      </c>
      <c r="G312" s="219"/>
    </row>
    <row r="313" spans="1:7">
      <c r="A313" s="95"/>
      <c r="B313" s="6" t="s">
        <v>503</v>
      </c>
      <c r="C313" s="7" t="s">
        <v>504</v>
      </c>
      <c r="D313" s="8" t="s">
        <v>505</v>
      </c>
      <c r="E313" s="151" t="str">
        <f>LEFT($B$313,6)&amp;"_T"&amp;ROW()-ROW($B$313)+1</f>
        <v>M9_P4_T1</v>
      </c>
      <c r="F313" s="10" t="s">
        <v>506</v>
      </c>
      <c r="G313" s="33" t="s">
        <v>484</v>
      </c>
    </row>
    <row r="314" spans="1:7">
      <c r="A314" s="95"/>
      <c r="B314" s="12"/>
      <c r="C314" s="13"/>
      <c r="D314" s="14"/>
      <c r="E314" s="151" t="str">
        <f t="shared" ref="E314:E316" si="53">LEFT($B$313,6)&amp;"_T"&amp;ROW()-ROW($B$313)+1</f>
        <v>M9_P4_T2</v>
      </c>
      <c r="F314" s="15" t="s">
        <v>507</v>
      </c>
      <c r="G314" s="36"/>
    </row>
    <row r="315" spans="1:7">
      <c r="A315" s="95"/>
      <c r="B315" s="12"/>
      <c r="C315" s="13"/>
      <c r="D315" s="14"/>
      <c r="E315" s="151" t="str">
        <f t="shared" si="53"/>
        <v>M9_P4_T3</v>
      </c>
      <c r="F315" s="15" t="s">
        <v>508</v>
      </c>
      <c r="G315" s="36"/>
    </row>
    <row r="316" spans="1:7" ht="14.4" thickBot="1">
      <c r="A316" s="95"/>
      <c r="B316" s="52"/>
      <c r="C316" s="85"/>
      <c r="D316" s="86"/>
      <c r="E316" s="151" t="str">
        <f t="shared" si="53"/>
        <v>M9_P4_T4</v>
      </c>
      <c r="F316" s="69" t="s">
        <v>509</v>
      </c>
      <c r="G316" s="218"/>
    </row>
    <row r="317" spans="1:7">
      <c r="A317" s="95"/>
      <c r="B317" s="18" t="s">
        <v>510</v>
      </c>
      <c r="C317" s="19" t="s">
        <v>511</v>
      </c>
      <c r="D317" s="20" t="s">
        <v>512</v>
      </c>
      <c r="E317" s="208" t="str">
        <f>LEFT($B$317,6)&amp;"_T"&amp;ROW()-ROW($B$317)+1</f>
        <v>M9_P5_T1</v>
      </c>
      <c r="F317" s="22" t="s">
        <v>513</v>
      </c>
      <c r="G317" s="23" t="s">
        <v>484</v>
      </c>
    </row>
    <row r="318" spans="1:7">
      <c r="A318" s="95"/>
      <c r="B318" s="24"/>
      <c r="C318" s="25"/>
      <c r="D318" s="26"/>
      <c r="E318" s="208" t="str">
        <f t="shared" ref="E318:E320" si="54">LEFT($B$317,6)&amp;"_T"&amp;ROW()-ROW($B$317)+1</f>
        <v>M9_P5_T2</v>
      </c>
      <c r="F318" s="27" t="s">
        <v>514</v>
      </c>
      <c r="G318" s="28"/>
    </row>
    <row r="319" spans="1:7">
      <c r="A319" s="95"/>
      <c r="B319" s="24"/>
      <c r="C319" s="25"/>
      <c r="D319" s="26"/>
      <c r="E319" s="208" t="str">
        <f t="shared" si="54"/>
        <v>M9_P5_T3</v>
      </c>
      <c r="F319" s="27" t="s">
        <v>515</v>
      </c>
      <c r="G319" s="28"/>
    </row>
    <row r="320" spans="1:7" ht="14.4" thickBot="1">
      <c r="A320" s="96"/>
      <c r="B320" s="61"/>
      <c r="C320" s="104"/>
      <c r="D320" s="110"/>
      <c r="E320" s="208" t="str">
        <f t="shared" si="54"/>
        <v>M9_P5_T4</v>
      </c>
      <c r="F320" s="63" t="s">
        <v>516</v>
      </c>
      <c r="G320" s="56"/>
    </row>
    <row r="322" spans="1:12">
      <c r="A322" s="72"/>
      <c r="B322" s="72"/>
      <c r="C322" s="72"/>
      <c r="D322" s="72"/>
      <c r="E322" s="72"/>
      <c r="F322" s="72"/>
      <c r="G322" s="72"/>
      <c r="H322" s="72"/>
      <c r="I322" s="72"/>
      <c r="J322" s="72"/>
      <c r="K322" s="72"/>
      <c r="L322" s="72"/>
    </row>
    <row r="327" spans="1:12" s="72" customFormat="1">
      <c r="A327" s="1" t="s">
        <v>517</v>
      </c>
      <c r="B327" s="73"/>
      <c r="C327" s="2"/>
      <c r="D327" s="2"/>
      <c r="E327" s="2"/>
      <c r="F327" s="2"/>
      <c r="G327" s="2"/>
      <c r="H327" s="2"/>
      <c r="I327" s="2"/>
      <c r="J327" s="2"/>
      <c r="K327" s="2"/>
      <c r="L327" s="2"/>
    </row>
    <row r="329" spans="1:12" ht="28.2" thickBot="1">
      <c r="A329" s="3" t="s">
        <v>1</v>
      </c>
      <c r="B329" s="4" t="s">
        <v>2</v>
      </c>
      <c r="C329" s="4" t="s">
        <v>3</v>
      </c>
      <c r="D329" s="4" t="s">
        <v>4</v>
      </c>
      <c r="E329" s="3" t="s">
        <v>5</v>
      </c>
      <c r="F329" s="4" t="s">
        <v>6</v>
      </c>
      <c r="G329" s="4" t="s">
        <v>7</v>
      </c>
    </row>
    <row r="330" spans="1:12" ht="27.6">
      <c r="A330" s="6" t="s">
        <v>518</v>
      </c>
      <c r="B330" s="19" t="s">
        <v>519</v>
      </c>
      <c r="C330" s="99" t="s">
        <v>520</v>
      </c>
      <c r="D330" s="20" t="s">
        <v>521</v>
      </c>
      <c r="E330" s="208" t="str">
        <f>LEFT($B$330,6)&amp;"_T"&amp;ROW()-ROW($B$330)+1</f>
        <v>M10_P1_T1</v>
      </c>
      <c r="F330" s="213" t="s">
        <v>522</v>
      </c>
      <c r="G330" s="18" t="s">
        <v>523</v>
      </c>
    </row>
    <row r="331" spans="1:12">
      <c r="A331" s="12"/>
      <c r="B331" s="25"/>
      <c r="C331" s="100"/>
      <c r="D331" s="26"/>
      <c r="E331" s="208" t="str">
        <f t="shared" ref="E331:E333" si="55">LEFT($B$330,6)&amp;"_T"&amp;ROW()-ROW($B$330)+1</f>
        <v>M10_P1_T2</v>
      </c>
      <c r="F331" s="215" t="s">
        <v>524</v>
      </c>
      <c r="G331" s="24"/>
    </row>
    <row r="332" spans="1:12">
      <c r="A332" s="12"/>
      <c r="B332" s="25"/>
      <c r="C332" s="100"/>
      <c r="D332" s="26"/>
      <c r="E332" s="208" t="str">
        <f t="shared" si="55"/>
        <v>M10_P1_T3</v>
      </c>
      <c r="F332" s="215" t="s">
        <v>525</v>
      </c>
      <c r="G332" s="24"/>
    </row>
    <row r="333" spans="1:12" ht="14.4" thickBot="1">
      <c r="A333" s="12"/>
      <c r="B333" s="25"/>
      <c r="C333" s="100"/>
      <c r="D333" s="26"/>
      <c r="E333" s="105" t="str">
        <f t="shared" si="55"/>
        <v>M10_P1_T4</v>
      </c>
      <c r="F333" s="220" t="s">
        <v>526</v>
      </c>
      <c r="G333" s="24"/>
    </row>
    <row r="334" spans="1:12">
      <c r="A334" s="12"/>
      <c r="B334" s="7" t="s">
        <v>527</v>
      </c>
      <c r="C334" s="101" t="s">
        <v>528</v>
      </c>
      <c r="D334" s="8" t="s">
        <v>529</v>
      </c>
      <c r="E334" s="64" t="str">
        <f>LEFT($B$334,6)&amp;"_T"&amp;ROW()-ROW($B$334)+1</f>
        <v>M10_P2_T1</v>
      </c>
      <c r="F334" s="221" t="s">
        <v>530</v>
      </c>
      <c r="G334" s="156" t="s">
        <v>523</v>
      </c>
    </row>
    <row r="335" spans="1:12">
      <c r="A335" s="12"/>
      <c r="B335" s="13"/>
      <c r="C335" s="102"/>
      <c r="D335" s="14"/>
      <c r="E335" s="151" t="str">
        <f t="shared" ref="E335:E337" si="56">LEFT($B$334,6)&amp;"_T"&amp;ROW()-ROW($B$334)+1</f>
        <v>M10_P2_T2</v>
      </c>
      <c r="F335" s="59" t="s">
        <v>531</v>
      </c>
      <c r="G335" s="157"/>
    </row>
    <row r="336" spans="1:12">
      <c r="A336" s="12"/>
      <c r="B336" s="13"/>
      <c r="C336" s="102"/>
      <c r="D336" s="14"/>
      <c r="E336" s="151" t="str">
        <f t="shared" si="56"/>
        <v>M10_P2_T3</v>
      </c>
      <c r="F336" s="59" t="s">
        <v>532</v>
      </c>
      <c r="G336" s="157"/>
    </row>
    <row r="337" spans="1:7" ht="14.4" thickBot="1">
      <c r="A337" s="12"/>
      <c r="B337" s="85"/>
      <c r="C337" s="103"/>
      <c r="D337" s="86"/>
      <c r="E337" s="212" t="str">
        <f t="shared" si="56"/>
        <v>M10_P2_T4</v>
      </c>
      <c r="F337" s="222" t="s">
        <v>533</v>
      </c>
      <c r="G337" s="159"/>
    </row>
    <row r="338" spans="1:7">
      <c r="A338" s="12"/>
      <c r="B338" s="25" t="s">
        <v>534</v>
      </c>
      <c r="C338" s="100" t="s">
        <v>535</v>
      </c>
      <c r="D338" s="26" t="s">
        <v>536</v>
      </c>
      <c r="E338" s="208" t="str">
        <f>LEFT($B$338,6)&amp;"_T"&amp;ROW()-ROW($B$338)+1</f>
        <v>M10_P3_T1</v>
      </c>
      <c r="F338" s="223" t="s">
        <v>537</v>
      </c>
      <c r="G338" s="24" t="s">
        <v>523</v>
      </c>
    </row>
    <row r="339" spans="1:7">
      <c r="A339" s="12"/>
      <c r="B339" s="25"/>
      <c r="C339" s="100"/>
      <c r="D339" s="26"/>
      <c r="E339" s="208" t="str">
        <f t="shared" ref="E339:E341" si="57">LEFT($B$338,6)&amp;"_T"&amp;ROW()-ROW($B$338)+1</f>
        <v>M10_P3_T2</v>
      </c>
      <c r="F339" s="215" t="s">
        <v>538</v>
      </c>
      <c r="G339" s="24"/>
    </row>
    <row r="340" spans="1:7">
      <c r="A340" s="12"/>
      <c r="B340" s="25"/>
      <c r="C340" s="100"/>
      <c r="D340" s="26"/>
      <c r="E340" s="208" t="str">
        <f t="shared" si="57"/>
        <v>M10_P3_T3</v>
      </c>
      <c r="F340" s="215" t="s">
        <v>539</v>
      </c>
      <c r="G340" s="24"/>
    </row>
    <row r="341" spans="1:7" ht="14.4" thickBot="1">
      <c r="A341" s="12"/>
      <c r="B341" s="104"/>
      <c r="C341" s="100"/>
      <c r="D341" s="26"/>
      <c r="E341" s="105" t="str">
        <f t="shared" si="57"/>
        <v>M10_P3_T4</v>
      </c>
      <c r="F341" s="220" t="s">
        <v>540</v>
      </c>
      <c r="G341" s="24"/>
    </row>
    <row r="342" spans="1:7">
      <c r="A342" s="12"/>
      <c r="B342" s="19" t="s">
        <v>541</v>
      </c>
      <c r="C342" s="101" t="s">
        <v>542</v>
      </c>
      <c r="D342" s="8" t="s">
        <v>543</v>
      </c>
      <c r="E342" s="9" t="str">
        <f>LEFT($B$342,6)&amp;"_T"&amp;ROW()-ROW($B$342)+1</f>
        <v>M10_P4_T1</v>
      </c>
      <c r="F342" s="221" t="s">
        <v>544</v>
      </c>
      <c r="G342" s="156" t="s">
        <v>523</v>
      </c>
    </row>
    <row r="343" spans="1:7">
      <c r="A343" s="12"/>
      <c r="B343" s="25"/>
      <c r="C343" s="102"/>
      <c r="D343" s="14"/>
      <c r="E343" s="9" t="str">
        <f t="shared" ref="E343:E345" si="58">LEFT($B$342,6)&amp;"_T"&amp;ROW()-ROW($B$342)+1</f>
        <v>M10_P4_T2</v>
      </c>
      <c r="F343" s="59" t="s">
        <v>545</v>
      </c>
      <c r="G343" s="157"/>
    </row>
    <row r="344" spans="1:7">
      <c r="A344" s="12"/>
      <c r="B344" s="25"/>
      <c r="C344" s="102"/>
      <c r="D344" s="14"/>
      <c r="E344" s="9" t="str">
        <f t="shared" si="58"/>
        <v>M10_P4_T3</v>
      </c>
      <c r="F344" s="59" t="s">
        <v>546</v>
      </c>
      <c r="G344" s="157"/>
    </row>
    <row r="345" spans="1:7" ht="14.4" thickBot="1">
      <c r="A345" s="12"/>
      <c r="B345" s="25"/>
      <c r="C345" s="102"/>
      <c r="D345" s="14"/>
      <c r="E345" s="224" t="str">
        <f t="shared" si="58"/>
        <v>M10_P4_T4</v>
      </c>
      <c r="F345" s="60" t="s">
        <v>547</v>
      </c>
      <c r="G345" s="157"/>
    </row>
    <row r="346" spans="1:7">
      <c r="A346" s="12"/>
      <c r="B346" s="19" t="s">
        <v>548</v>
      </c>
      <c r="C346" s="99" t="s">
        <v>549</v>
      </c>
      <c r="D346" s="20" t="s">
        <v>550</v>
      </c>
      <c r="E346" s="113" t="str">
        <f>LEFT($B$346,6)&amp;"_T"&amp;ROW()-ROW($B$346)+1</f>
        <v>M10_P5_T1</v>
      </c>
      <c r="F346" s="213" t="s">
        <v>551</v>
      </c>
      <c r="G346" s="18" t="s">
        <v>523</v>
      </c>
    </row>
    <row r="347" spans="1:7">
      <c r="A347" s="12"/>
      <c r="B347" s="25"/>
      <c r="C347" s="100"/>
      <c r="D347" s="26"/>
      <c r="E347" s="208" t="str">
        <f t="shared" ref="E347:E350" si="59">LEFT($B$346,6)&amp;"_T"&amp;ROW()-ROW($B$346)+1</f>
        <v>M10_P5_T2</v>
      </c>
      <c r="F347" s="215" t="s">
        <v>552</v>
      </c>
      <c r="G347" s="24"/>
    </row>
    <row r="348" spans="1:7">
      <c r="A348" s="12"/>
      <c r="B348" s="25"/>
      <c r="C348" s="100"/>
      <c r="D348" s="26"/>
      <c r="E348" s="208" t="str">
        <f t="shared" si="59"/>
        <v>M10_P5_T3</v>
      </c>
      <c r="F348" s="215" t="s">
        <v>553</v>
      </c>
      <c r="G348" s="24"/>
    </row>
    <row r="349" spans="1:7">
      <c r="A349" s="12"/>
      <c r="B349" s="25"/>
      <c r="C349" s="100"/>
      <c r="D349" s="26"/>
      <c r="E349" s="208" t="str">
        <f t="shared" si="59"/>
        <v>M10_P5_T4</v>
      </c>
      <c r="F349" s="215" t="s">
        <v>554</v>
      </c>
      <c r="G349" s="24"/>
    </row>
    <row r="350" spans="1:7" ht="14.4" thickBot="1">
      <c r="A350" s="12"/>
      <c r="B350" s="104"/>
      <c r="C350" s="109"/>
      <c r="D350" s="110"/>
      <c r="E350" s="105" t="str">
        <f t="shared" si="59"/>
        <v>M10_P5_T5</v>
      </c>
      <c r="F350" s="217" t="s">
        <v>555</v>
      </c>
      <c r="G350" s="61"/>
    </row>
    <row r="351" spans="1:7">
      <c r="A351" s="12"/>
      <c r="B351" s="13" t="s">
        <v>556</v>
      </c>
      <c r="C351" s="102" t="s">
        <v>557</v>
      </c>
      <c r="D351" s="14" t="s">
        <v>558</v>
      </c>
      <c r="E351" s="9" t="str">
        <f>LEFT($B$351,6)&amp;"_T"&amp;ROW()-ROW($B$351)+1</f>
        <v>M10_P6_T1</v>
      </c>
      <c r="F351" s="58" t="s">
        <v>559</v>
      </c>
      <c r="G351" s="157" t="s">
        <v>523</v>
      </c>
    </row>
    <row r="352" spans="1:7">
      <c r="A352" s="12"/>
      <c r="B352" s="13"/>
      <c r="C352" s="102"/>
      <c r="D352" s="14"/>
      <c r="E352" s="9" t="str">
        <f t="shared" ref="E352:E354" si="60">LEFT($B$351,6)&amp;"_T"&amp;ROW()-ROW($B$351)+1</f>
        <v>M10_P6_T2</v>
      </c>
      <c r="F352" s="59" t="s">
        <v>560</v>
      </c>
      <c r="G352" s="157"/>
    </row>
    <row r="353" spans="1:12">
      <c r="A353" s="12"/>
      <c r="B353" s="13"/>
      <c r="C353" s="102"/>
      <c r="D353" s="14"/>
      <c r="E353" s="9" t="str">
        <f t="shared" si="60"/>
        <v>M10_P6_T3</v>
      </c>
      <c r="F353" s="59" t="s">
        <v>561</v>
      </c>
      <c r="G353" s="157"/>
    </row>
    <row r="354" spans="1:12" ht="14.4" thickBot="1">
      <c r="A354" s="12"/>
      <c r="B354" s="13"/>
      <c r="C354" s="102"/>
      <c r="D354" s="14"/>
      <c r="E354" s="224" t="str">
        <f t="shared" si="60"/>
        <v>M10_P6_T4</v>
      </c>
      <c r="F354" s="60" t="s">
        <v>562</v>
      </c>
      <c r="G354" s="157"/>
    </row>
    <row r="355" spans="1:12">
      <c r="A355" s="12"/>
      <c r="B355" s="19" t="s">
        <v>563</v>
      </c>
      <c r="C355" s="99" t="s">
        <v>564</v>
      </c>
      <c r="D355" s="20" t="s">
        <v>565</v>
      </c>
      <c r="E355" s="113" t="str">
        <f>LEFT($B$355,6)&amp;"_T"&amp;ROW()-ROW($B$355)+1</f>
        <v>M10_P7_T1</v>
      </c>
      <c r="F355" s="213" t="s">
        <v>566</v>
      </c>
      <c r="G355" s="145" t="s">
        <v>523</v>
      </c>
    </row>
    <row r="356" spans="1:12">
      <c r="A356" s="12"/>
      <c r="B356" s="25"/>
      <c r="C356" s="100"/>
      <c r="D356" s="26"/>
      <c r="E356" s="208" t="str">
        <f t="shared" ref="E356:E358" si="61">LEFT($B$355,6)&amp;"_T"&amp;ROW()-ROW($B$355)+1</f>
        <v>M10_P7_T2</v>
      </c>
      <c r="F356" s="215" t="s">
        <v>567</v>
      </c>
      <c r="G356" s="147"/>
    </row>
    <row r="357" spans="1:12">
      <c r="A357" s="12"/>
      <c r="B357" s="25"/>
      <c r="C357" s="100"/>
      <c r="D357" s="26"/>
      <c r="E357" s="208" t="str">
        <f t="shared" si="61"/>
        <v>M10_P7_T3</v>
      </c>
      <c r="F357" s="215" t="s">
        <v>568</v>
      </c>
      <c r="G357" s="147"/>
    </row>
    <row r="358" spans="1:12" ht="14.4" thickBot="1">
      <c r="A358" s="52"/>
      <c r="B358" s="104"/>
      <c r="C358" s="109"/>
      <c r="D358" s="110"/>
      <c r="E358" s="192" t="str">
        <f t="shared" si="61"/>
        <v>M10_P7_T4</v>
      </c>
      <c r="F358" s="217" t="s">
        <v>569</v>
      </c>
      <c r="G358" s="148"/>
    </row>
    <row r="359" spans="1:12" s="72" customFormat="1">
      <c r="A359" s="2"/>
      <c r="B359" s="2"/>
      <c r="C359" s="2"/>
      <c r="D359" s="2"/>
      <c r="E359" s="2"/>
      <c r="F359" s="2"/>
      <c r="G359" s="2"/>
      <c r="H359" s="2"/>
      <c r="I359" s="2"/>
      <c r="J359" s="2"/>
      <c r="K359" s="2"/>
      <c r="L359" s="2"/>
    </row>
    <row r="361" spans="1:12">
      <c r="A361" s="72"/>
      <c r="B361" s="72"/>
      <c r="C361" s="72"/>
      <c r="D361" s="72"/>
      <c r="E361" s="72"/>
      <c r="F361" s="72"/>
      <c r="G361" s="72"/>
      <c r="H361" s="72"/>
      <c r="I361" s="72"/>
      <c r="J361" s="72"/>
      <c r="K361" s="72"/>
      <c r="L361" s="72"/>
    </row>
    <row r="364" spans="1:12">
      <c r="A364" s="98" t="s">
        <v>570</v>
      </c>
      <c r="B364" s="73"/>
    </row>
    <row r="366" spans="1:12" ht="28.2" thickBot="1">
      <c r="A366" s="4" t="s">
        <v>1</v>
      </c>
      <c r="B366" s="4" t="s">
        <v>2</v>
      </c>
      <c r="C366" s="4" t="s">
        <v>3</v>
      </c>
      <c r="D366" s="4" t="s">
        <v>4</v>
      </c>
      <c r="E366" s="4" t="s">
        <v>5</v>
      </c>
      <c r="F366" s="4" t="s">
        <v>6</v>
      </c>
      <c r="G366" s="4" t="s">
        <v>7</v>
      </c>
    </row>
    <row r="367" spans="1:12">
      <c r="A367" s="6" t="s">
        <v>571</v>
      </c>
      <c r="B367" s="18" t="s">
        <v>572</v>
      </c>
      <c r="C367" s="18" t="s">
        <v>573</v>
      </c>
      <c r="D367" s="99" t="s">
        <v>574</v>
      </c>
      <c r="E367" s="21" t="str">
        <f>LEFT($B$367,6)&amp;"_T"&amp;ROW()-ROW($B$367)+1</f>
        <v>M11_P1_T1</v>
      </c>
      <c r="F367" s="213" t="s">
        <v>575</v>
      </c>
      <c r="G367" s="18" t="s">
        <v>576</v>
      </c>
    </row>
    <row r="368" spans="1:12">
      <c r="A368" s="12"/>
      <c r="B368" s="24"/>
      <c r="C368" s="24"/>
      <c r="D368" s="100"/>
      <c r="E368" s="21" t="str">
        <f t="shared" ref="E368:E370" si="62">LEFT($B$367,6)&amp;"_T"&amp;ROW()-ROW($B$367)+1</f>
        <v>M11_P1_T2</v>
      </c>
      <c r="F368" s="215" t="s">
        <v>577</v>
      </c>
      <c r="G368" s="24"/>
    </row>
    <row r="369" spans="1:7">
      <c r="A369" s="12"/>
      <c r="B369" s="24"/>
      <c r="C369" s="24"/>
      <c r="D369" s="100"/>
      <c r="E369" s="21" t="str">
        <f t="shared" si="62"/>
        <v>M11_P1_T3</v>
      </c>
      <c r="F369" s="215" t="s">
        <v>578</v>
      </c>
      <c r="G369" s="24"/>
    </row>
    <row r="370" spans="1:7" ht="14.4" thickBot="1">
      <c r="A370" s="12"/>
      <c r="B370" s="61"/>
      <c r="C370" s="61"/>
      <c r="D370" s="109"/>
      <c r="E370" s="21" t="str">
        <f t="shared" si="62"/>
        <v>M11_P1_T4</v>
      </c>
      <c r="F370" s="217" t="s">
        <v>579</v>
      </c>
      <c r="G370" s="61"/>
    </row>
    <row r="371" spans="1:7">
      <c r="A371" s="12"/>
      <c r="B371" s="6" t="s">
        <v>580</v>
      </c>
      <c r="C371" s="6" t="s">
        <v>581</v>
      </c>
      <c r="D371" s="101" t="s">
        <v>582</v>
      </c>
      <c r="E371" s="151" t="str">
        <f>LEFT($B$371,6)&amp;"_T"&amp;ROW()-ROW($B$371)+1</f>
        <v>M11_P2_T1</v>
      </c>
      <c r="F371" s="221" t="s">
        <v>583</v>
      </c>
      <c r="G371" s="6" t="s">
        <v>576</v>
      </c>
    </row>
    <row r="372" spans="1:7">
      <c r="A372" s="12"/>
      <c r="B372" s="12"/>
      <c r="C372" s="12"/>
      <c r="D372" s="102"/>
      <c r="E372" s="151" t="str">
        <f t="shared" ref="E372:E374" si="63">LEFT($B$371,6)&amp;"_T"&amp;ROW()-ROW($B$371)+1</f>
        <v>M11_P2_T2</v>
      </c>
      <c r="F372" s="15" t="s">
        <v>584</v>
      </c>
      <c r="G372" s="12"/>
    </row>
    <row r="373" spans="1:7">
      <c r="A373" s="12"/>
      <c r="B373" s="12"/>
      <c r="C373" s="12"/>
      <c r="D373" s="102"/>
      <c r="E373" s="151" t="str">
        <f t="shared" si="63"/>
        <v>M11_P2_T3</v>
      </c>
      <c r="F373" s="15" t="s">
        <v>585</v>
      </c>
      <c r="G373" s="12"/>
    </row>
    <row r="374" spans="1:7" ht="14.4" thickBot="1">
      <c r="A374" s="12"/>
      <c r="B374" s="52"/>
      <c r="C374" s="52"/>
      <c r="D374" s="103"/>
      <c r="E374" s="151" t="str">
        <f t="shared" si="63"/>
        <v>M11_P2_T4</v>
      </c>
      <c r="F374" s="69" t="s">
        <v>586</v>
      </c>
      <c r="G374" s="52"/>
    </row>
    <row r="375" spans="1:7">
      <c r="A375" s="12"/>
      <c r="B375" s="6" t="s">
        <v>587</v>
      </c>
      <c r="C375" s="18" t="s">
        <v>588</v>
      </c>
      <c r="D375" s="99" t="s">
        <v>589</v>
      </c>
      <c r="E375" s="208" t="str">
        <f>LEFT($B$375,6)&amp;"_T"&amp;ROW()-ROW($B$375)+1</f>
        <v>M11_P3_T1</v>
      </c>
      <c r="F375" s="213" t="s">
        <v>590</v>
      </c>
      <c r="G375" s="18" t="s">
        <v>576</v>
      </c>
    </row>
    <row r="376" spans="1:7">
      <c r="A376" s="12"/>
      <c r="B376" s="12"/>
      <c r="C376" s="24"/>
      <c r="D376" s="100"/>
      <c r="E376" s="208" t="str">
        <f t="shared" ref="E376:E378" si="64">LEFT($B$375,6)&amp;"_T"&amp;ROW()-ROW($B$375)+1</f>
        <v>M11_P3_T2</v>
      </c>
      <c r="F376" s="215" t="s">
        <v>591</v>
      </c>
      <c r="G376" s="24"/>
    </row>
    <row r="377" spans="1:7">
      <c r="A377" s="12"/>
      <c r="B377" s="12"/>
      <c r="C377" s="24"/>
      <c r="D377" s="100"/>
      <c r="E377" s="208" t="str">
        <f t="shared" si="64"/>
        <v>M11_P3_T3</v>
      </c>
      <c r="F377" s="215" t="s">
        <v>592</v>
      </c>
      <c r="G377" s="24"/>
    </row>
    <row r="378" spans="1:7" ht="14.4" thickBot="1">
      <c r="A378" s="12"/>
      <c r="B378" s="52"/>
      <c r="C378" s="61"/>
      <c r="D378" s="109"/>
      <c r="E378" s="208" t="str">
        <f t="shared" si="64"/>
        <v>M11_P3_T4</v>
      </c>
      <c r="F378" s="217" t="s">
        <v>593</v>
      </c>
      <c r="G378" s="61"/>
    </row>
    <row r="379" spans="1:7">
      <c r="A379" s="12"/>
      <c r="B379" s="6" t="s">
        <v>594</v>
      </c>
      <c r="C379" s="6" t="s">
        <v>595</v>
      </c>
      <c r="D379" s="101" t="s">
        <v>596</v>
      </c>
      <c r="E379" s="151" t="str">
        <f>LEFT($B$379,6)&amp;"_T"&amp;ROW()-ROW($B$379)+1</f>
        <v>M11_P4_T1</v>
      </c>
      <c r="F379" s="221" t="s">
        <v>597</v>
      </c>
      <c r="G379" s="6" t="s">
        <v>576</v>
      </c>
    </row>
    <row r="380" spans="1:7">
      <c r="A380" s="12"/>
      <c r="B380" s="12"/>
      <c r="C380" s="12"/>
      <c r="D380" s="102"/>
      <c r="E380" s="151" t="str">
        <f t="shared" ref="E380:E382" si="65">LEFT($B$379,6)&amp;"_T"&amp;ROW()-ROW($B$379)+1</f>
        <v>M11_P4_T2</v>
      </c>
      <c r="F380" s="59" t="s">
        <v>598</v>
      </c>
      <c r="G380" s="12"/>
    </row>
    <row r="381" spans="1:7">
      <c r="A381" s="12"/>
      <c r="B381" s="12"/>
      <c r="C381" s="12"/>
      <c r="D381" s="102"/>
      <c r="E381" s="151" t="str">
        <f t="shared" si="65"/>
        <v>M11_P4_T3</v>
      </c>
      <c r="F381" s="59" t="s">
        <v>599</v>
      </c>
      <c r="G381" s="12"/>
    </row>
    <row r="382" spans="1:7" ht="14.4" thickBot="1">
      <c r="A382" s="12"/>
      <c r="B382" s="52"/>
      <c r="C382" s="52"/>
      <c r="D382" s="103"/>
      <c r="E382" s="151" t="str">
        <f t="shared" si="65"/>
        <v>M11_P4_T4</v>
      </c>
      <c r="F382" s="222" t="s">
        <v>600</v>
      </c>
      <c r="G382" s="52"/>
    </row>
    <row r="383" spans="1:7">
      <c r="A383" s="12"/>
      <c r="B383" s="6" t="s">
        <v>601</v>
      </c>
      <c r="C383" s="18" t="s">
        <v>602</v>
      </c>
      <c r="D383" s="99" t="s">
        <v>603</v>
      </c>
      <c r="E383" s="208" t="str">
        <f>LEFT($B$383,6)&amp;"_T"&amp;ROW()-ROW($B$383)+1</f>
        <v>M11_P5_T1</v>
      </c>
      <c r="F383" s="213" t="s">
        <v>604</v>
      </c>
      <c r="G383" s="18" t="s">
        <v>576</v>
      </c>
    </row>
    <row r="384" spans="1:7">
      <c r="A384" s="12"/>
      <c r="B384" s="12"/>
      <c r="C384" s="24"/>
      <c r="D384" s="100"/>
      <c r="E384" s="208" t="str">
        <f t="shared" ref="E384:E386" si="66">LEFT($B$383,6)&amp;"_T"&amp;ROW()-ROW($B$383)+1</f>
        <v>M11_P5_T2</v>
      </c>
      <c r="F384" s="215" t="s">
        <v>605</v>
      </c>
      <c r="G384" s="24"/>
    </row>
    <row r="385" spans="1:12">
      <c r="A385" s="12"/>
      <c r="B385" s="12"/>
      <c r="C385" s="24"/>
      <c r="D385" s="100"/>
      <c r="E385" s="208" t="str">
        <f t="shared" si="66"/>
        <v>M11_P5_T3</v>
      </c>
      <c r="F385" s="215" t="s">
        <v>606</v>
      </c>
      <c r="G385" s="24"/>
    </row>
    <row r="386" spans="1:12" s="72" customFormat="1" ht="14.4" thickBot="1">
      <c r="A386" s="12"/>
      <c r="B386" s="52"/>
      <c r="C386" s="61"/>
      <c r="D386" s="109"/>
      <c r="E386" s="208" t="str">
        <f t="shared" si="66"/>
        <v>M11_P5_T4</v>
      </c>
      <c r="F386" s="217" t="s">
        <v>607</v>
      </c>
      <c r="G386" s="61"/>
      <c r="H386" s="2"/>
      <c r="I386" s="2"/>
      <c r="J386" s="2"/>
      <c r="K386" s="2"/>
      <c r="L386" s="2"/>
    </row>
    <row r="387" spans="1:12">
      <c r="A387" s="12"/>
      <c r="B387" s="6" t="s">
        <v>608</v>
      </c>
      <c r="C387" s="6" t="s">
        <v>609</v>
      </c>
      <c r="D387" s="101" t="s">
        <v>610</v>
      </c>
      <c r="E387" s="151" t="str">
        <f>LEFT($B$387,6)&amp;"_T"&amp;ROW()-ROW($B$387)+1</f>
        <v>M11_P6_T1</v>
      </c>
      <c r="F387" s="221" t="s">
        <v>611</v>
      </c>
      <c r="G387" s="6" t="s">
        <v>576</v>
      </c>
    </row>
    <row r="388" spans="1:12">
      <c r="A388" s="12"/>
      <c r="B388" s="12"/>
      <c r="C388" s="12"/>
      <c r="D388" s="102"/>
      <c r="E388" s="151" t="str">
        <f t="shared" ref="E388:E390" si="67">LEFT($B$387,6)&amp;"_T"&amp;ROW()-ROW($B$387)+1</f>
        <v>M11_P6_T2</v>
      </c>
      <c r="F388" s="59" t="s">
        <v>612</v>
      </c>
      <c r="G388" s="12"/>
    </row>
    <row r="389" spans="1:12">
      <c r="A389" s="12"/>
      <c r="B389" s="12"/>
      <c r="C389" s="12"/>
      <c r="D389" s="102"/>
      <c r="E389" s="151" t="str">
        <f t="shared" si="67"/>
        <v>M11_P6_T3</v>
      </c>
      <c r="F389" s="59" t="s">
        <v>613</v>
      </c>
      <c r="G389" s="12"/>
    </row>
    <row r="390" spans="1:12" ht="14.4" thickBot="1">
      <c r="A390" s="52"/>
      <c r="B390" s="52"/>
      <c r="C390" s="52"/>
      <c r="D390" s="103"/>
      <c r="E390" s="151" t="str">
        <f t="shared" si="67"/>
        <v>M11_P6_T4</v>
      </c>
      <c r="F390" s="222" t="s">
        <v>614</v>
      </c>
      <c r="G390" s="52"/>
    </row>
    <row r="391" spans="1:12">
      <c r="A391" s="225"/>
    </row>
    <row r="392" spans="1:12">
      <c r="A392" s="225"/>
    </row>
    <row r="393" spans="1:12">
      <c r="A393" s="226"/>
      <c r="B393" s="72"/>
      <c r="C393" s="72"/>
      <c r="D393" s="72"/>
      <c r="E393" s="72"/>
      <c r="F393" s="72"/>
      <c r="G393" s="72"/>
      <c r="H393" s="72"/>
      <c r="I393" s="72"/>
      <c r="J393" s="72"/>
      <c r="K393" s="72"/>
      <c r="L393" s="72"/>
    </row>
    <row r="394" spans="1:12">
      <c r="A394" s="225"/>
    </row>
    <row r="395" spans="1:12">
      <c r="A395" s="125" t="s">
        <v>615</v>
      </c>
      <c r="B395" s="73"/>
    </row>
    <row r="397" spans="1:12" ht="28.2" thickBot="1">
      <c r="A397" s="3" t="s">
        <v>1</v>
      </c>
      <c r="B397" s="4" t="s">
        <v>2</v>
      </c>
      <c r="C397" s="4" t="s">
        <v>3</v>
      </c>
      <c r="D397" s="4" t="s">
        <v>4</v>
      </c>
      <c r="E397" s="3" t="s">
        <v>5</v>
      </c>
      <c r="F397" s="4" t="s">
        <v>6</v>
      </c>
      <c r="G397" s="4" t="s">
        <v>7</v>
      </c>
    </row>
    <row r="398" spans="1:12">
      <c r="A398" s="94" t="s">
        <v>616</v>
      </c>
      <c r="B398" s="18" t="s">
        <v>617</v>
      </c>
      <c r="C398" s="19" t="s">
        <v>618</v>
      </c>
      <c r="D398" s="20" t="s">
        <v>619</v>
      </c>
      <c r="E398" s="208" t="str">
        <f>LEFT($B$398,6)&amp;"_T"&amp;ROW()-ROW($B$398)+1</f>
        <v>M12_P1_T1</v>
      </c>
      <c r="F398" s="22" t="s">
        <v>620</v>
      </c>
      <c r="G398" s="23" t="s">
        <v>621</v>
      </c>
    </row>
    <row r="399" spans="1:12">
      <c r="A399" s="95"/>
      <c r="B399" s="24"/>
      <c r="C399" s="25"/>
      <c r="D399" s="26"/>
      <c r="E399" s="208" t="str">
        <f t="shared" ref="E399:E401" si="68">LEFT($B$398,6)&amp;"_T"&amp;ROW()-ROW($B$398)+1</f>
        <v>M12_P1_T2</v>
      </c>
      <c r="F399" s="27" t="s">
        <v>622</v>
      </c>
      <c r="G399" s="28"/>
    </row>
    <row r="400" spans="1:12">
      <c r="A400" s="95"/>
      <c r="B400" s="24"/>
      <c r="C400" s="25"/>
      <c r="D400" s="26"/>
      <c r="E400" s="208" t="str">
        <f t="shared" si="68"/>
        <v>M12_P1_T3</v>
      </c>
      <c r="F400" s="27" t="s">
        <v>623</v>
      </c>
      <c r="G400" s="28"/>
    </row>
    <row r="401" spans="1:7" ht="14.4" thickBot="1">
      <c r="A401" s="95"/>
      <c r="B401" s="61"/>
      <c r="C401" s="104"/>
      <c r="D401" s="110"/>
      <c r="E401" s="208" t="str">
        <f t="shared" si="68"/>
        <v>M12_P1_T4</v>
      </c>
      <c r="F401" s="63" t="s">
        <v>624</v>
      </c>
      <c r="G401" s="56"/>
    </row>
    <row r="402" spans="1:7">
      <c r="A402" s="95"/>
      <c r="B402" s="6" t="s">
        <v>625</v>
      </c>
      <c r="C402" s="7" t="s">
        <v>626</v>
      </c>
      <c r="D402" s="8" t="s">
        <v>627</v>
      </c>
      <c r="E402" s="151" t="str">
        <f>LEFT($B$402,6)&amp;"_T"&amp;ROW()-ROW($B$402)+1</f>
        <v>M12_P2_T1</v>
      </c>
      <c r="F402" s="10" t="s">
        <v>628</v>
      </c>
      <c r="G402" s="11" t="s">
        <v>621</v>
      </c>
    </row>
    <row r="403" spans="1:7">
      <c r="A403" s="95"/>
      <c r="B403" s="12"/>
      <c r="C403" s="13"/>
      <c r="D403" s="14"/>
      <c r="E403" s="151" t="str">
        <f t="shared" ref="E403:E405" si="69">LEFT($B$402,6)&amp;"_T"&amp;ROW()-ROW($B$402)+1</f>
        <v>M12_P2_T2</v>
      </c>
      <c r="F403" s="15" t="s">
        <v>629</v>
      </c>
      <c r="G403" s="16"/>
    </row>
    <row r="404" spans="1:7">
      <c r="A404" s="95"/>
      <c r="B404" s="12"/>
      <c r="C404" s="13"/>
      <c r="D404" s="14"/>
      <c r="E404" s="151" t="str">
        <f t="shared" si="69"/>
        <v>M12_P2_T3</v>
      </c>
      <c r="F404" s="15" t="s">
        <v>630</v>
      </c>
      <c r="G404" s="16"/>
    </row>
    <row r="405" spans="1:7" ht="14.4" thickBot="1">
      <c r="A405" s="95"/>
      <c r="B405" s="52"/>
      <c r="C405" s="85"/>
      <c r="D405" s="86"/>
      <c r="E405" s="151" t="str">
        <f t="shared" si="69"/>
        <v>M12_P2_T4</v>
      </c>
      <c r="F405" s="69" t="s">
        <v>631</v>
      </c>
      <c r="G405" s="70"/>
    </row>
    <row r="406" spans="1:7">
      <c r="A406" s="95"/>
      <c r="B406" s="18" t="s">
        <v>632</v>
      </c>
      <c r="C406" s="19" t="s">
        <v>633</v>
      </c>
      <c r="D406" s="20" t="s">
        <v>634</v>
      </c>
      <c r="E406" s="208" t="str">
        <f>LEFT($B$406,6)&amp;"_T"&amp;ROW()-ROW($B$406)+1</f>
        <v>M12_P3_T1</v>
      </c>
      <c r="F406" s="22" t="s">
        <v>635</v>
      </c>
      <c r="G406" s="23" t="s">
        <v>621</v>
      </c>
    </row>
    <row r="407" spans="1:7">
      <c r="A407" s="95"/>
      <c r="B407" s="24"/>
      <c r="C407" s="25"/>
      <c r="D407" s="26"/>
      <c r="E407" s="208" t="str">
        <f t="shared" ref="E407:E409" si="70">LEFT($B$406,6)&amp;"_T"&amp;ROW()-ROW($B$406)+1</f>
        <v>M12_P3_T2</v>
      </c>
      <c r="F407" s="27" t="s">
        <v>636</v>
      </c>
      <c r="G407" s="28"/>
    </row>
    <row r="408" spans="1:7">
      <c r="A408" s="95"/>
      <c r="B408" s="24"/>
      <c r="C408" s="25"/>
      <c r="D408" s="26"/>
      <c r="E408" s="208" t="str">
        <f t="shared" si="70"/>
        <v>M12_P3_T3</v>
      </c>
      <c r="F408" s="27" t="s">
        <v>637</v>
      </c>
      <c r="G408" s="28"/>
    </row>
    <row r="409" spans="1:7" ht="14.4" thickBot="1">
      <c r="A409" s="95"/>
      <c r="B409" s="61"/>
      <c r="C409" s="104"/>
      <c r="D409" s="110"/>
      <c r="E409" s="208" t="str">
        <f t="shared" si="70"/>
        <v>M12_P3_T4</v>
      </c>
      <c r="F409" s="63" t="s">
        <v>638</v>
      </c>
      <c r="G409" s="56"/>
    </row>
    <row r="410" spans="1:7">
      <c r="A410" s="95"/>
      <c r="B410" s="6" t="s">
        <v>639</v>
      </c>
      <c r="C410" s="7" t="s">
        <v>640</v>
      </c>
      <c r="D410" s="8" t="s">
        <v>641</v>
      </c>
      <c r="E410" s="151" t="str">
        <f>LEFT($B$410,6)&amp;"_T"&amp;ROW()-ROW($B$410)+1</f>
        <v>M12_P4_T1</v>
      </c>
      <c r="F410" s="10" t="s">
        <v>642</v>
      </c>
      <c r="G410" s="11" t="s">
        <v>621</v>
      </c>
    </row>
    <row r="411" spans="1:7">
      <c r="A411" s="95"/>
      <c r="B411" s="12"/>
      <c r="C411" s="13"/>
      <c r="D411" s="14"/>
      <c r="E411" s="151" t="str">
        <f t="shared" ref="E411:E413" si="71">LEFT($B$410,6)&amp;"_T"&amp;ROW()-ROW($B$410)+1</f>
        <v>M12_P4_T2</v>
      </c>
      <c r="F411" s="15" t="s">
        <v>643</v>
      </c>
      <c r="G411" s="16"/>
    </row>
    <row r="412" spans="1:7">
      <c r="A412" s="95"/>
      <c r="B412" s="12"/>
      <c r="C412" s="13"/>
      <c r="D412" s="14"/>
      <c r="E412" s="151" t="str">
        <f t="shared" si="71"/>
        <v>M12_P4_T3</v>
      </c>
      <c r="F412" s="15" t="s">
        <v>644</v>
      </c>
      <c r="G412" s="16"/>
    </row>
    <row r="413" spans="1:7" ht="14.4" thickBot="1">
      <c r="A413" s="95"/>
      <c r="B413" s="52"/>
      <c r="C413" s="85"/>
      <c r="D413" s="86"/>
      <c r="E413" s="151" t="str">
        <f t="shared" si="71"/>
        <v>M12_P4_T4</v>
      </c>
      <c r="F413" s="69" t="s">
        <v>645</v>
      </c>
      <c r="G413" s="70"/>
    </row>
    <row r="414" spans="1:7">
      <c r="A414" s="95"/>
      <c r="B414" s="18" t="s">
        <v>646</v>
      </c>
      <c r="C414" s="19" t="s">
        <v>647</v>
      </c>
      <c r="D414" s="20" t="s">
        <v>648</v>
      </c>
      <c r="E414" s="208" t="str">
        <f>LEFT($B$414,6)&amp;"_T"&amp;ROW()-ROW($B$414)+1</f>
        <v>M12_P5_T1</v>
      </c>
      <c r="F414" s="22" t="s">
        <v>649</v>
      </c>
      <c r="G414" s="23" t="s">
        <v>621</v>
      </c>
    </row>
    <row r="415" spans="1:7">
      <c r="A415" s="95"/>
      <c r="B415" s="24"/>
      <c r="C415" s="25"/>
      <c r="D415" s="26"/>
      <c r="E415" s="208" t="str">
        <f t="shared" ref="E415:E417" si="72">LEFT($B$414,6)&amp;"_T"&amp;ROW()-ROW($B$414)+1</f>
        <v>M12_P5_T2</v>
      </c>
      <c r="F415" s="27" t="s">
        <v>650</v>
      </c>
      <c r="G415" s="28"/>
    </row>
    <row r="416" spans="1:7">
      <c r="A416" s="95"/>
      <c r="B416" s="24"/>
      <c r="C416" s="25"/>
      <c r="D416" s="26"/>
      <c r="E416" s="208" t="str">
        <f t="shared" si="72"/>
        <v>M12_P5_T3</v>
      </c>
      <c r="F416" s="27" t="s">
        <v>651</v>
      </c>
      <c r="G416" s="28"/>
    </row>
    <row r="417" spans="1:21" ht="14.4" thickBot="1">
      <c r="A417" s="96"/>
      <c r="B417" s="61"/>
      <c r="C417" s="104"/>
      <c r="D417" s="110"/>
      <c r="E417" s="208" t="str">
        <f t="shared" si="72"/>
        <v>M12_P5_T4</v>
      </c>
      <c r="F417" s="63" t="s">
        <v>652</v>
      </c>
      <c r="G417" s="56"/>
      <c r="M417" s="72"/>
      <c r="N417" s="72"/>
      <c r="O417" s="72"/>
      <c r="P417" s="72"/>
      <c r="Q417" s="72"/>
      <c r="R417" s="72"/>
      <c r="S417" s="72"/>
      <c r="T417" s="72"/>
      <c r="U417" s="72"/>
    </row>
    <row r="418" spans="1:21">
      <c r="A418" s="225"/>
    </row>
    <row r="419" spans="1:21" s="72" customFormat="1">
      <c r="A419" s="225"/>
      <c r="B419" s="2"/>
      <c r="C419" s="2"/>
      <c r="D419" s="2"/>
      <c r="E419" s="2"/>
      <c r="F419" s="2"/>
      <c r="G419" s="2"/>
      <c r="H419" s="2"/>
      <c r="I419" s="2"/>
      <c r="J419" s="2"/>
      <c r="K419" s="2"/>
      <c r="L419" s="2"/>
      <c r="M419" s="2"/>
      <c r="N419" s="2"/>
      <c r="O419" s="2"/>
      <c r="P419" s="2"/>
      <c r="Q419" s="2"/>
      <c r="R419" s="2"/>
      <c r="S419" s="2"/>
      <c r="T419" s="2"/>
      <c r="U419" s="2"/>
    </row>
    <row r="420" spans="1:21">
      <c r="A420" s="226"/>
      <c r="B420" s="72"/>
      <c r="C420" s="72"/>
      <c r="D420" s="72"/>
      <c r="E420" s="72"/>
      <c r="F420" s="72"/>
      <c r="G420" s="72"/>
      <c r="H420" s="72"/>
      <c r="I420" s="72"/>
      <c r="J420" s="72"/>
      <c r="K420" s="72"/>
      <c r="L420" s="72"/>
    </row>
    <row r="421" spans="1:21">
      <c r="A421" s="225"/>
    </row>
    <row r="422" spans="1:21">
      <c r="A422" s="125" t="s">
        <v>653</v>
      </c>
      <c r="B422" s="73"/>
    </row>
    <row r="424" spans="1:21" ht="28.2" thickBot="1">
      <c r="A424" s="3" t="s">
        <v>1</v>
      </c>
      <c r="B424" s="4" t="s">
        <v>2</v>
      </c>
      <c r="C424" s="4" t="s">
        <v>3</v>
      </c>
      <c r="D424" s="4" t="s">
        <v>4</v>
      </c>
      <c r="E424" s="4" t="s">
        <v>5</v>
      </c>
      <c r="F424" s="4" t="s">
        <v>6</v>
      </c>
      <c r="G424" s="4" t="s">
        <v>7</v>
      </c>
    </row>
    <row r="425" spans="1:21">
      <c r="A425" s="6" t="s">
        <v>654</v>
      </c>
      <c r="B425" s="18" t="s">
        <v>655</v>
      </c>
      <c r="C425" s="19" t="s">
        <v>656</v>
      </c>
      <c r="D425" s="20" t="s">
        <v>657</v>
      </c>
      <c r="E425" s="21" t="str">
        <f>LEFT($B$425,6)&amp;"_T"&amp;ROW()-ROW($B$425)+1</f>
        <v>M13_P1_T1</v>
      </c>
      <c r="F425" s="22" t="s">
        <v>658</v>
      </c>
      <c r="G425" s="23" t="s">
        <v>659</v>
      </c>
    </row>
    <row r="426" spans="1:21">
      <c r="A426" s="12"/>
      <c r="B426" s="24"/>
      <c r="C426" s="25"/>
      <c r="D426" s="26"/>
      <c r="E426" s="21" t="str">
        <f t="shared" ref="E426:E428" si="73">LEFT($B$425,6)&amp;"_T"&amp;ROW()-ROW($B$425)+1</f>
        <v>M13_P1_T2</v>
      </c>
      <c r="F426" s="27" t="s">
        <v>660</v>
      </c>
      <c r="G426" s="28"/>
    </row>
    <row r="427" spans="1:21">
      <c r="A427" s="12"/>
      <c r="B427" s="24"/>
      <c r="C427" s="25"/>
      <c r="D427" s="26"/>
      <c r="E427" s="21" t="str">
        <f t="shared" si="73"/>
        <v>M13_P1_T3</v>
      </c>
      <c r="F427" s="27" t="s">
        <v>661</v>
      </c>
      <c r="G427" s="28"/>
    </row>
    <row r="428" spans="1:21" ht="28.2" thickBot="1">
      <c r="A428" s="12"/>
      <c r="B428" s="61"/>
      <c r="C428" s="104"/>
      <c r="D428" s="110"/>
      <c r="E428" s="21" t="str">
        <f t="shared" si="73"/>
        <v>M13_P1_T4</v>
      </c>
      <c r="F428" s="63" t="s">
        <v>662</v>
      </c>
      <c r="G428" s="56"/>
    </row>
    <row r="429" spans="1:21">
      <c r="A429" s="12"/>
      <c r="B429" s="6" t="s">
        <v>663</v>
      </c>
      <c r="C429" s="7" t="s">
        <v>664</v>
      </c>
      <c r="D429" s="8" t="s">
        <v>665</v>
      </c>
      <c r="E429" s="151" t="str">
        <f>LEFT($B$429,6)&amp;"_T"&amp;ROW()-ROW($B$429)+1</f>
        <v>M13_P2_T1</v>
      </c>
      <c r="F429" s="10" t="s">
        <v>666</v>
      </c>
      <c r="G429" s="11" t="s">
        <v>659</v>
      </c>
    </row>
    <row r="430" spans="1:21">
      <c r="A430" s="12"/>
      <c r="B430" s="12"/>
      <c r="C430" s="13"/>
      <c r="D430" s="14"/>
      <c r="E430" s="151" t="str">
        <f t="shared" ref="E430:E433" si="74">LEFT($B$429,6)&amp;"_T"&amp;ROW()-ROW($B$429)+1</f>
        <v>M13_P2_T2</v>
      </c>
      <c r="F430" s="15" t="s">
        <v>667</v>
      </c>
      <c r="G430" s="16"/>
    </row>
    <row r="431" spans="1:21">
      <c r="A431" s="12"/>
      <c r="B431" s="12"/>
      <c r="C431" s="13"/>
      <c r="D431" s="14"/>
      <c r="E431" s="151" t="str">
        <f t="shared" si="74"/>
        <v>M13_P2_T3</v>
      </c>
      <c r="F431" s="15" t="s">
        <v>668</v>
      </c>
      <c r="G431" s="16"/>
    </row>
    <row r="432" spans="1:21">
      <c r="A432" s="12"/>
      <c r="B432" s="12"/>
      <c r="C432" s="13"/>
      <c r="D432" s="14"/>
      <c r="E432" s="151" t="str">
        <f t="shared" si="74"/>
        <v>M13_P2_T4</v>
      </c>
      <c r="F432" s="15" t="s">
        <v>669</v>
      </c>
      <c r="G432" s="16"/>
    </row>
    <row r="433" spans="1:7" ht="14.4" thickBot="1">
      <c r="A433" s="12"/>
      <c r="B433" s="52"/>
      <c r="C433" s="85"/>
      <c r="D433" s="86"/>
      <c r="E433" s="151" t="str">
        <f t="shared" si="74"/>
        <v>M13_P2_T5</v>
      </c>
      <c r="F433" s="15" t="s">
        <v>670</v>
      </c>
      <c r="G433" s="70"/>
    </row>
    <row r="434" spans="1:7">
      <c r="A434" s="12"/>
      <c r="B434" s="18" t="s">
        <v>671</v>
      </c>
      <c r="C434" s="19" t="s">
        <v>672</v>
      </c>
      <c r="D434" s="20" t="s">
        <v>673</v>
      </c>
      <c r="E434" s="208" t="str">
        <f>LEFT($B$434,6)&amp;"_T"&amp;ROW()-ROW($B$434)+1</f>
        <v>M13_P3_T1</v>
      </c>
      <c r="F434" s="71" t="s">
        <v>674</v>
      </c>
      <c r="G434" s="23" t="s">
        <v>659</v>
      </c>
    </row>
    <row r="435" spans="1:7" ht="25.8" customHeight="1">
      <c r="A435" s="12"/>
      <c r="B435" s="24"/>
      <c r="C435" s="25"/>
      <c r="D435" s="26"/>
      <c r="E435" s="208" t="str">
        <f t="shared" ref="E435:E439" si="75">LEFT($B$434,6)&amp;"_T"&amp;ROW()-ROW($B$434)+1</f>
        <v>M13_P3_T2</v>
      </c>
      <c r="F435" s="27" t="s">
        <v>675</v>
      </c>
      <c r="G435" s="28"/>
    </row>
    <row r="436" spans="1:7" ht="24.6" customHeight="1">
      <c r="A436" s="12"/>
      <c r="B436" s="24"/>
      <c r="C436" s="25"/>
      <c r="D436" s="26"/>
      <c r="E436" s="208" t="str">
        <f t="shared" si="75"/>
        <v>M13_P3_T3</v>
      </c>
      <c r="F436" s="27" t="s">
        <v>676</v>
      </c>
      <c r="G436" s="28"/>
    </row>
    <row r="437" spans="1:7">
      <c r="A437" s="12"/>
      <c r="B437" s="24"/>
      <c r="C437" s="25"/>
      <c r="D437" s="26"/>
      <c r="E437" s="208" t="str">
        <f t="shared" si="75"/>
        <v>M13_P3_T4</v>
      </c>
      <c r="F437" s="30" t="s">
        <v>677</v>
      </c>
      <c r="G437" s="28"/>
    </row>
    <row r="438" spans="1:7" ht="55.2">
      <c r="A438" s="12"/>
      <c r="B438" s="24"/>
      <c r="C438" s="25"/>
      <c r="D438" s="26"/>
      <c r="E438" s="208" t="str">
        <f t="shared" si="75"/>
        <v>M13_P3_T5</v>
      </c>
      <c r="F438" s="30" t="s">
        <v>678</v>
      </c>
      <c r="G438" s="28"/>
    </row>
    <row r="439" spans="1:7" ht="32.4" customHeight="1" thickBot="1">
      <c r="A439" s="12"/>
      <c r="B439" s="61"/>
      <c r="C439" s="104"/>
      <c r="D439" s="110"/>
      <c r="E439" s="208" t="str">
        <f t="shared" si="75"/>
        <v>M13_P3_T6</v>
      </c>
      <c r="F439" s="63" t="s">
        <v>679</v>
      </c>
      <c r="G439" s="56"/>
    </row>
    <row r="440" spans="1:7">
      <c r="A440" s="12"/>
      <c r="B440" s="6" t="s">
        <v>680</v>
      </c>
      <c r="C440" s="7" t="s">
        <v>681</v>
      </c>
      <c r="D440" s="8" t="s">
        <v>682</v>
      </c>
      <c r="E440" s="151" t="str">
        <f>LEFT($B$440,6)&amp;"_T"&amp;ROW()-ROW($B$440)+1</f>
        <v>M13_P4_T1</v>
      </c>
      <c r="F440" s="10" t="s">
        <v>683</v>
      </c>
      <c r="G440" s="11" t="s">
        <v>659</v>
      </c>
    </row>
    <row r="441" spans="1:7">
      <c r="A441" s="12"/>
      <c r="B441" s="12"/>
      <c r="C441" s="13"/>
      <c r="D441" s="14"/>
      <c r="E441" s="151" t="str">
        <f t="shared" ref="E441:E446" si="76">LEFT($B$440,6)&amp;"_T"&amp;ROW()-ROW($B$440)+1</f>
        <v>M13_P4_T2</v>
      </c>
      <c r="F441" s="15" t="s">
        <v>684</v>
      </c>
      <c r="G441" s="16"/>
    </row>
    <row r="442" spans="1:7">
      <c r="A442" s="12"/>
      <c r="B442" s="12"/>
      <c r="C442" s="13"/>
      <c r="D442" s="14"/>
      <c r="E442" s="151" t="str">
        <f t="shared" si="76"/>
        <v>M13_P4_T3</v>
      </c>
      <c r="F442" s="15" t="s">
        <v>685</v>
      </c>
      <c r="G442" s="16"/>
    </row>
    <row r="443" spans="1:7">
      <c r="A443" s="12"/>
      <c r="B443" s="12"/>
      <c r="C443" s="13"/>
      <c r="D443" s="14"/>
      <c r="E443" s="151" t="str">
        <f t="shared" si="76"/>
        <v>M13_P4_T4</v>
      </c>
      <c r="F443" s="15" t="s">
        <v>686</v>
      </c>
      <c r="G443" s="16"/>
    </row>
    <row r="444" spans="1:7" ht="14.4" customHeight="1">
      <c r="A444" s="12"/>
      <c r="B444" s="12"/>
      <c r="C444" s="13"/>
      <c r="D444" s="14"/>
      <c r="E444" s="151" t="str">
        <f t="shared" si="76"/>
        <v>M13_P4_T5</v>
      </c>
      <c r="F444" s="15" t="s">
        <v>687</v>
      </c>
      <c r="G444" s="16"/>
    </row>
    <row r="445" spans="1:7" ht="41.4">
      <c r="A445" s="12"/>
      <c r="B445" s="12"/>
      <c r="C445" s="13"/>
      <c r="D445" s="14"/>
      <c r="E445" s="151" t="str">
        <f t="shared" si="76"/>
        <v>M13_P4_T6</v>
      </c>
      <c r="F445" s="17" t="s">
        <v>688</v>
      </c>
      <c r="G445" s="16"/>
    </row>
    <row r="446" spans="1:7">
      <c r="A446" s="12"/>
      <c r="B446" s="12"/>
      <c r="C446" s="13"/>
      <c r="D446" s="14"/>
      <c r="E446" s="151" t="str">
        <f t="shared" si="76"/>
        <v>M13_P4_T7</v>
      </c>
      <c r="F446" s="17" t="s">
        <v>689</v>
      </c>
      <c r="G446" s="16"/>
    </row>
    <row r="447" spans="1:7" ht="14.4" thickBot="1">
      <c r="A447" s="12"/>
      <c r="B447" s="227"/>
      <c r="C447" s="228"/>
      <c r="D447" s="144"/>
      <c r="E447" s="151"/>
      <c r="F447" s="229"/>
      <c r="G447" s="230"/>
    </row>
    <row r="448" spans="1:7" ht="41.4">
      <c r="A448" s="12"/>
      <c r="B448" s="231" t="s">
        <v>690</v>
      </c>
      <c r="C448" s="19" t="s">
        <v>691</v>
      </c>
      <c r="D448" s="20" t="s">
        <v>692</v>
      </c>
      <c r="E448" s="208" t="str">
        <f>LEFT($B$448,6)&amp;"_T"&amp;ROW()-ROW($B$448)+1</f>
        <v>M13_P5_T1</v>
      </c>
      <c r="F448" s="22" t="s">
        <v>693</v>
      </c>
      <c r="G448" s="23"/>
    </row>
    <row r="449" spans="1:12" ht="55.2">
      <c r="A449" s="12"/>
      <c r="B449" s="232"/>
      <c r="C449" s="25"/>
      <c r="D449" s="26"/>
      <c r="E449" s="208"/>
      <c r="F449" s="71" t="s">
        <v>694</v>
      </c>
      <c r="G449" s="28"/>
    </row>
    <row r="450" spans="1:12">
      <c r="A450" s="12"/>
      <c r="B450" s="232"/>
      <c r="C450" s="25"/>
      <c r="D450" s="26"/>
      <c r="E450" s="233"/>
      <c r="F450" s="234" t="s">
        <v>695</v>
      </c>
      <c r="G450" s="28"/>
    </row>
    <row r="451" spans="1:12">
      <c r="A451" s="12"/>
      <c r="B451" s="232"/>
      <c r="C451" s="25"/>
      <c r="D451" s="26"/>
      <c r="E451" s="235"/>
      <c r="F451" s="236"/>
      <c r="G451" s="28"/>
    </row>
    <row r="452" spans="1:12" ht="14.4" thickBot="1">
      <c r="A452" s="12"/>
      <c r="B452" s="237"/>
      <c r="C452" s="104"/>
      <c r="D452" s="110"/>
      <c r="E452" s="238"/>
      <c r="F452" s="239"/>
      <c r="G452" s="56"/>
    </row>
    <row r="453" spans="1:12" ht="19.2" customHeight="1">
      <c r="A453" s="12"/>
      <c r="B453" s="231" t="s">
        <v>696</v>
      </c>
      <c r="C453" s="7" t="s">
        <v>697</v>
      </c>
      <c r="D453" s="8" t="s">
        <v>698</v>
      </c>
      <c r="E453" s="151" t="str">
        <f>LEFT($B$453,6)&amp;"_T"&amp;ROW()-ROW($B$453)+1</f>
        <v>M13_P6_T1</v>
      </c>
      <c r="F453" s="10" t="s">
        <v>699</v>
      </c>
      <c r="G453" s="11" t="s">
        <v>659</v>
      </c>
    </row>
    <row r="454" spans="1:12" ht="44.4" customHeight="1" thickBot="1">
      <c r="A454" s="52"/>
      <c r="B454" s="237"/>
      <c r="C454" s="85"/>
      <c r="D454" s="86"/>
      <c r="E454" s="151" t="str">
        <f>LEFT($B$453,6)&amp;"_T"&amp;ROW()-ROW($B$453)+1</f>
        <v>M13_P6_T2</v>
      </c>
      <c r="F454" s="69" t="s">
        <v>700</v>
      </c>
      <c r="G454" s="70"/>
    </row>
    <row r="455" spans="1:12">
      <c r="C455" s="97"/>
      <c r="D455" s="97"/>
      <c r="E455" s="97"/>
    </row>
    <row r="457" spans="1:12">
      <c r="A457" s="72"/>
      <c r="B457" s="72"/>
      <c r="C457" s="72"/>
      <c r="D457" s="72"/>
      <c r="E457" s="72"/>
      <c r="F457" s="72"/>
      <c r="G457" s="72"/>
      <c r="H457" s="72"/>
      <c r="I457" s="72"/>
      <c r="J457" s="72"/>
      <c r="K457" s="72"/>
      <c r="L457" s="72"/>
    </row>
  </sheetData>
  <mergeCells count="347">
    <mergeCell ref="B453:B454"/>
    <mergeCell ref="C453:C454"/>
    <mergeCell ref="D453:D454"/>
    <mergeCell ref="G453:G454"/>
    <mergeCell ref="B440:B446"/>
    <mergeCell ref="C440:C446"/>
    <mergeCell ref="D440:D446"/>
    <mergeCell ref="G440:G446"/>
    <mergeCell ref="B448:B452"/>
    <mergeCell ref="C448:C452"/>
    <mergeCell ref="D448:D452"/>
    <mergeCell ref="G448:G452"/>
    <mergeCell ref="E450:E452"/>
    <mergeCell ref="F450:F452"/>
    <mergeCell ref="C429:C433"/>
    <mergeCell ref="D429:D433"/>
    <mergeCell ref="G429:G433"/>
    <mergeCell ref="B434:B439"/>
    <mergeCell ref="C434:C439"/>
    <mergeCell ref="D434:D439"/>
    <mergeCell ref="G434:G439"/>
    <mergeCell ref="B414:B417"/>
    <mergeCell ref="C414:C417"/>
    <mergeCell ref="D414:D417"/>
    <mergeCell ref="G414:G417"/>
    <mergeCell ref="A425:A454"/>
    <mergeCell ref="B425:B428"/>
    <mergeCell ref="C425:C428"/>
    <mergeCell ref="D425:D428"/>
    <mergeCell ref="G425:G428"/>
    <mergeCell ref="B429:B433"/>
    <mergeCell ref="C406:C409"/>
    <mergeCell ref="D406:D409"/>
    <mergeCell ref="G406:G409"/>
    <mergeCell ref="B410:B413"/>
    <mergeCell ref="C410:C413"/>
    <mergeCell ref="D410:D413"/>
    <mergeCell ref="G410:G413"/>
    <mergeCell ref="A398:A417"/>
    <mergeCell ref="B398:B401"/>
    <mergeCell ref="C398:C401"/>
    <mergeCell ref="D398:D401"/>
    <mergeCell ref="G398:G401"/>
    <mergeCell ref="B402:B405"/>
    <mergeCell ref="C402:C405"/>
    <mergeCell ref="D402:D405"/>
    <mergeCell ref="G402:G405"/>
    <mergeCell ref="B406:B409"/>
    <mergeCell ref="B383:B386"/>
    <mergeCell ref="C383:C386"/>
    <mergeCell ref="D383:D386"/>
    <mergeCell ref="G383:G386"/>
    <mergeCell ref="B387:B390"/>
    <mergeCell ref="C387:C390"/>
    <mergeCell ref="D387:D390"/>
    <mergeCell ref="G387:G390"/>
    <mergeCell ref="C375:C378"/>
    <mergeCell ref="D375:D378"/>
    <mergeCell ref="G375:G378"/>
    <mergeCell ref="B379:B382"/>
    <mergeCell ref="C379:C382"/>
    <mergeCell ref="D379:D382"/>
    <mergeCell ref="G379:G382"/>
    <mergeCell ref="A367:A390"/>
    <mergeCell ref="B367:B370"/>
    <mergeCell ref="C367:C370"/>
    <mergeCell ref="D367:D370"/>
    <mergeCell ref="G367:G370"/>
    <mergeCell ref="B371:B374"/>
    <mergeCell ref="C371:C374"/>
    <mergeCell ref="D371:D374"/>
    <mergeCell ref="G371:G374"/>
    <mergeCell ref="B375:B378"/>
    <mergeCell ref="B351:B354"/>
    <mergeCell ref="C351:C354"/>
    <mergeCell ref="D351:D354"/>
    <mergeCell ref="G351:G354"/>
    <mergeCell ref="B355:B358"/>
    <mergeCell ref="C355:C358"/>
    <mergeCell ref="D355:D358"/>
    <mergeCell ref="G355:G358"/>
    <mergeCell ref="B342:B345"/>
    <mergeCell ref="C342:C345"/>
    <mergeCell ref="D342:D345"/>
    <mergeCell ref="G342:G345"/>
    <mergeCell ref="B346:B350"/>
    <mergeCell ref="C346:C350"/>
    <mergeCell ref="D346:D350"/>
    <mergeCell ref="G346:G350"/>
    <mergeCell ref="C334:C337"/>
    <mergeCell ref="D334:D337"/>
    <mergeCell ref="G334:G337"/>
    <mergeCell ref="B338:B341"/>
    <mergeCell ref="C338:C341"/>
    <mergeCell ref="D338:D341"/>
    <mergeCell ref="G338:G341"/>
    <mergeCell ref="B317:B320"/>
    <mergeCell ref="C317:C320"/>
    <mergeCell ref="D317:D320"/>
    <mergeCell ref="G317:G320"/>
    <mergeCell ref="A330:A358"/>
    <mergeCell ref="B330:B333"/>
    <mergeCell ref="C330:C333"/>
    <mergeCell ref="D330:D333"/>
    <mergeCell ref="G330:G333"/>
    <mergeCell ref="B334:B337"/>
    <mergeCell ref="C309:C312"/>
    <mergeCell ref="D309:D312"/>
    <mergeCell ref="G309:G312"/>
    <mergeCell ref="B313:B316"/>
    <mergeCell ref="C313:C316"/>
    <mergeCell ref="D313:D316"/>
    <mergeCell ref="G313:G316"/>
    <mergeCell ref="A301:A320"/>
    <mergeCell ref="B301:B304"/>
    <mergeCell ref="C301:C304"/>
    <mergeCell ref="D301:D304"/>
    <mergeCell ref="G301:G304"/>
    <mergeCell ref="B305:B308"/>
    <mergeCell ref="C305:C308"/>
    <mergeCell ref="D305:D308"/>
    <mergeCell ref="G305:G308"/>
    <mergeCell ref="B309:B312"/>
    <mergeCell ref="B285:B288"/>
    <mergeCell ref="C285:C288"/>
    <mergeCell ref="D285:D288"/>
    <mergeCell ref="G285:G288"/>
    <mergeCell ref="B289:B292"/>
    <mergeCell ref="C289:C292"/>
    <mergeCell ref="D289:D292"/>
    <mergeCell ref="G289:G292"/>
    <mergeCell ref="C277:C280"/>
    <mergeCell ref="D277:D280"/>
    <mergeCell ref="G277:G280"/>
    <mergeCell ref="B281:B284"/>
    <mergeCell ref="C281:C284"/>
    <mergeCell ref="D281:D284"/>
    <mergeCell ref="G281:G284"/>
    <mergeCell ref="A269:A292"/>
    <mergeCell ref="B269:B272"/>
    <mergeCell ref="C269:C272"/>
    <mergeCell ref="D269:D272"/>
    <mergeCell ref="G269:G272"/>
    <mergeCell ref="B273:B276"/>
    <mergeCell ref="C273:C276"/>
    <mergeCell ref="D273:D276"/>
    <mergeCell ref="G273:G276"/>
    <mergeCell ref="B277:B280"/>
    <mergeCell ref="B253:B256"/>
    <mergeCell ref="C253:C256"/>
    <mergeCell ref="D253:D256"/>
    <mergeCell ref="G253:G256"/>
    <mergeCell ref="B257:B261"/>
    <mergeCell ref="C257:C261"/>
    <mergeCell ref="D257:D261"/>
    <mergeCell ref="G257:G261"/>
    <mergeCell ref="B239:B243"/>
    <mergeCell ref="C239:C243"/>
    <mergeCell ref="D239:D243"/>
    <mergeCell ref="G239:G243"/>
    <mergeCell ref="B244:B252"/>
    <mergeCell ref="C244:C252"/>
    <mergeCell ref="D244:D252"/>
    <mergeCell ref="G244:G252"/>
    <mergeCell ref="G215:G219"/>
    <mergeCell ref="A229:A261"/>
    <mergeCell ref="B229:B232"/>
    <mergeCell ref="C229:C232"/>
    <mergeCell ref="D229:D232"/>
    <mergeCell ref="G229:G232"/>
    <mergeCell ref="B233:B238"/>
    <mergeCell ref="C233:C238"/>
    <mergeCell ref="D233:D238"/>
    <mergeCell ref="G233:G238"/>
    <mergeCell ref="B211:B214"/>
    <mergeCell ref="C211:C214"/>
    <mergeCell ref="D211:D214"/>
    <mergeCell ref="B215:B219"/>
    <mergeCell ref="C215:C219"/>
    <mergeCell ref="D215:D219"/>
    <mergeCell ref="D203:D207"/>
    <mergeCell ref="G203:G207"/>
    <mergeCell ref="B208:B210"/>
    <mergeCell ref="C208:C210"/>
    <mergeCell ref="D208:D210"/>
    <mergeCell ref="G208:G210"/>
    <mergeCell ref="H187:H218"/>
    <mergeCell ref="B193:B197"/>
    <mergeCell ref="C193:C197"/>
    <mergeCell ref="D193:D197"/>
    <mergeCell ref="G193:G197"/>
    <mergeCell ref="B198:B202"/>
    <mergeCell ref="C198:C202"/>
    <mergeCell ref="D198:D202"/>
    <mergeCell ref="G198:G202"/>
    <mergeCell ref="B203:B207"/>
    <mergeCell ref="B176:B179"/>
    <mergeCell ref="C176:C179"/>
    <mergeCell ref="D176:D179"/>
    <mergeCell ref="G176:G179"/>
    <mergeCell ref="A187:A219"/>
    <mergeCell ref="B187:B192"/>
    <mergeCell ref="C187:C192"/>
    <mergeCell ref="D187:D192"/>
    <mergeCell ref="G187:G192"/>
    <mergeCell ref="C203:C207"/>
    <mergeCell ref="B168:B171"/>
    <mergeCell ref="C168:C171"/>
    <mergeCell ref="D168:D171"/>
    <mergeCell ref="G168:G171"/>
    <mergeCell ref="B172:B175"/>
    <mergeCell ref="C172:C175"/>
    <mergeCell ref="D172:D175"/>
    <mergeCell ref="G172:G175"/>
    <mergeCell ref="B159:B162"/>
    <mergeCell ref="C159:C162"/>
    <mergeCell ref="D159:D162"/>
    <mergeCell ref="G159:G162"/>
    <mergeCell ref="B163:B167"/>
    <mergeCell ref="C163:C167"/>
    <mergeCell ref="D163:D167"/>
    <mergeCell ref="G163:G167"/>
    <mergeCell ref="C153:C156"/>
    <mergeCell ref="D153:D156"/>
    <mergeCell ref="G153:G156"/>
    <mergeCell ref="B157:B158"/>
    <mergeCell ref="C157:C158"/>
    <mergeCell ref="D157:D158"/>
    <mergeCell ref="G157:G158"/>
    <mergeCell ref="B138:B141"/>
    <mergeCell ref="C138:C141"/>
    <mergeCell ref="D138:D141"/>
    <mergeCell ref="G138:G141"/>
    <mergeCell ref="A148:A179"/>
    <mergeCell ref="B148:B152"/>
    <mergeCell ref="C148:C152"/>
    <mergeCell ref="D148:D152"/>
    <mergeCell ref="G148:G152"/>
    <mergeCell ref="B153:B156"/>
    <mergeCell ref="B130:B133"/>
    <mergeCell ref="C130:C133"/>
    <mergeCell ref="D130:D133"/>
    <mergeCell ref="G130:G133"/>
    <mergeCell ref="B134:B137"/>
    <mergeCell ref="C134:C137"/>
    <mergeCell ref="D134:D137"/>
    <mergeCell ref="G134:G137"/>
    <mergeCell ref="C122:C125"/>
    <mergeCell ref="D122:D125"/>
    <mergeCell ref="G122:G125"/>
    <mergeCell ref="B126:B129"/>
    <mergeCell ref="C126:C129"/>
    <mergeCell ref="D126:D129"/>
    <mergeCell ref="G126:G129"/>
    <mergeCell ref="A114:A141"/>
    <mergeCell ref="B114:B117"/>
    <mergeCell ref="C114:C117"/>
    <mergeCell ref="D114:D117"/>
    <mergeCell ref="G114:G117"/>
    <mergeCell ref="B118:B121"/>
    <mergeCell ref="C118:C121"/>
    <mergeCell ref="D118:D121"/>
    <mergeCell ref="G118:G121"/>
    <mergeCell ref="B122:B125"/>
    <mergeCell ref="B97:B101"/>
    <mergeCell ref="C97:C101"/>
    <mergeCell ref="D97:D101"/>
    <mergeCell ref="G97:G101"/>
    <mergeCell ref="B102:B106"/>
    <mergeCell ref="C102:C106"/>
    <mergeCell ref="D102:D106"/>
    <mergeCell ref="G102:G106"/>
    <mergeCell ref="C87:C91"/>
    <mergeCell ref="D87:D91"/>
    <mergeCell ref="G87:G91"/>
    <mergeCell ref="B92:B96"/>
    <mergeCell ref="C92:C96"/>
    <mergeCell ref="D92:D96"/>
    <mergeCell ref="G92:G96"/>
    <mergeCell ref="A77:A106"/>
    <mergeCell ref="B77:B81"/>
    <mergeCell ref="C77:C81"/>
    <mergeCell ref="D77:D81"/>
    <mergeCell ref="G77:G81"/>
    <mergeCell ref="B82:B86"/>
    <mergeCell ref="C82:C86"/>
    <mergeCell ref="D82:D86"/>
    <mergeCell ref="G82:G86"/>
    <mergeCell ref="B87:B91"/>
    <mergeCell ref="C61:C65"/>
    <mergeCell ref="D61:D65"/>
    <mergeCell ref="G61:G65"/>
    <mergeCell ref="B66:B70"/>
    <mergeCell ref="C66:C70"/>
    <mergeCell ref="D66:D70"/>
    <mergeCell ref="G66:G70"/>
    <mergeCell ref="A51:A70"/>
    <mergeCell ref="B51:B55"/>
    <mergeCell ref="C51:C55"/>
    <mergeCell ref="D51:D55"/>
    <mergeCell ref="G51:G55"/>
    <mergeCell ref="B56:B60"/>
    <mergeCell ref="C56:C60"/>
    <mergeCell ref="D56:D60"/>
    <mergeCell ref="G56:G60"/>
    <mergeCell ref="B61:B65"/>
    <mergeCell ref="B37:B40"/>
    <mergeCell ref="C37:C40"/>
    <mergeCell ref="D37:D40"/>
    <mergeCell ref="G37:G40"/>
    <mergeCell ref="B41:B45"/>
    <mergeCell ref="C41:C45"/>
    <mergeCell ref="D41:D45"/>
    <mergeCell ref="G41:G45"/>
    <mergeCell ref="B29:B32"/>
    <mergeCell ref="C29:C32"/>
    <mergeCell ref="D29:D32"/>
    <mergeCell ref="G29:G32"/>
    <mergeCell ref="B33:B36"/>
    <mergeCell ref="C33:C36"/>
    <mergeCell ref="D33:D36"/>
    <mergeCell ref="G33:G36"/>
    <mergeCell ref="B21:B24"/>
    <mergeCell ref="C21:C24"/>
    <mergeCell ref="D21:D24"/>
    <mergeCell ref="G21:G24"/>
    <mergeCell ref="B25:B28"/>
    <mergeCell ref="C25:C28"/>
    <mergeCell ref="D25:D28"/>
    <mergeCell ref="G25:G28"/>
    <mergeCell ref="C13:C16"/>
    <mergeCell ref="D13:D16"/>
    <mergeCell ref="G13:G16"/>
    <mergeCell ref="B17:B20"/>
    <mergeCell ref="C17:C20"/>
    <mergeCell ref="D17:D20"/>
    <mergeCell ref="G17:G20"/>
    <mergeCell ref="A5:A45"/>
    <mergeCell ref="B5:B8"/>
    <mergeCell ref="C5:C8"/>
    <mergeCell ref="D5:D8"/>
    <mergeCell ref="G5:G8"/>
    <mergeCell ref="B9:B12"/>
    <mergeCell ref="C9:C12"/>
    <mergeCell ref="D9:D12"/>
    <mergeCell ref="G9:G12"/>
    <mergeCell ref="B13: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TOGOCOM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Hanasse Titikpina</dc:creator>
  <cp:lastModifiedBy>Hanasse Titikpina</cp:lastModifiedBy>
  <dcterms:created xsi:type="dcterms:W3CDTF">2025-11-07T09:34:11Z</dcterms:created>
  <dcterms:modified xsi:type="dcterms:W3CDTF">2025-11-07T09:36:01Z</dcterms:modified>
</cp:coreProperties>
</file>